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0811"/>
  <workbookPr dateCompatibility="0" defaultThemeVersion="166925"/>
  <mc:AlternateContent xmlns:mc="http://schemas.openxmlformats.org/markup-compatibility/2006">
    <mc:Choice Requires="x15">
      <x15ac:absPath xmlns:x15ac="http://schemas.microsoft.com/office/spreadsheetml/2010/11/ac" url="/Users/linneaegner/Downloads/"/>
    </mc:Choice>
  </mc:AlternateContent>
  <xr:revisionPtr revIDLastSave="0" documentId="8_{A33DC8DF-C1CF-3241-B07C-43CCE2DD4B33}" xr6:coauthVersionLast="47" xr6:coauthVersionMax="47" xr10:uidLastSave="{00000000-0000-0000-0000-000000000000}"/>
  <bookViews>
    <workbookView xWindow="0" yWindow="500" windowWidth="33600" windowHeight="20500" activeTab="3"/>
  </bookViews>
  <sheets>
    <sheet name="0_Manual" sheetId="1" r:id="rId1"/>
    <sheet name="Studentdata" sheetId="2" r:id="rId2"/>
    <sheet name="Riskregister" sheetId="3" r:id="rId3"/>
    <sheet name="Risknivåer" sheetId="4" r:id="rId4"/>
    <sheet name="Data" sheetId="5" r:id="rId5"/>
  </sheet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55" i="3" l="1"/>
  <c r="H55" i="3"/>
  <c r="J54" i="3"/>
  <c r="H54" i="3"/>
  <c r="J53" i="3"/>
  <c r="H53" i="3"/>
  <c r="J52" i="3"/>
  <c r="H52" i="3"/>
  <c r="J51" i="3"/>
  <c r="H51" i="3"/>
  <c r="J50" i="3"/>
  <c r="H50" i="3"/>
  <c r="J49" i="3"/>
  <c r="H49" i="3"/>
  <c r="J48" i="3"/>
  <c r="H48" i="3"/>
  <c r="J47" i="3"/>
  <c r="H47" i="3"/>
  <c r="J46" i="3"/>
  <c r="H46" i="3"/>
  <c r="J45" i="3"/>
  <c r="H45" i="3"/>
  <c r="J44" i="3"/>
  <c r="H44" i="3"/>
  <c r="J43" i="3"/>
  <c r="H43" i="3"/>
  <c r="J42" i="3"/>
  <c r="H42" i="3"/>
  <c r="J41" i="3"/>
  <c r="H41" i="3"/>
  <c r="J40" i="3"/>
  <c r="H40" i="3"/>
  <c r="J39" i="3"/>
  <c r="H39" i="3"/>
  <c r="J38" i="3"/>
  <c r="H38" i="3"/>
  <c r="J37" i="3"/>
  <c r="H37" i="3"/>
  <c r="J36" i="3"/>
  <c r="H36" i="3"/>
  <c r="J35" i="3"/>
  <c r="H35" i="3"/>
  <c r="J34" i="3"/>
  <c r="H34" i="3"/>
  <c r="J33" i="3"/>
  <c r="H33" i="3"/>
  <c r="J32" i="3"/>
  <c r="H32" i="3"/>
  <c r="J31" i="3"/>
  <c r="H31" i="3"/>
  <c r="J30" i="3"/>
  <c r="H30" i="3"/>
  <c r="J29" i="3"/>
  <c r="H29" i="3"/>
  <c r="J28" i="3"/>
  <c r="H28" i="3"/>
  <c r="J27" i="3"/>
  <c r="H27" i="3"/>
  <c r="J26" i="3"/>
  <c r="H26" i="3"/>
  <c r="J25" i="3"/>
  <c r="H25" i="3"/>
  <c r="J24" i="3"/>
  <c r="H24" i="3"/>
  <c r="J23" i="3"/>
  <c r="H23" i="3"/>
  <c r="J22" i="3"/>
  <c r="H22" i="3"/>
  <c r="J21" i="3"/>
  <c r="H21" i="3"/>
  <c r="J20" i="3"/>
  <c r="H20" i="3"/>
  <c r="J19" i="3"/>
  <c r="H19" i="3"/>
  <c r="J18" i="3"/>
  <c r="H18" i="3"/>
  <c r="J17" i="3"/>
  <c r="H17" i="3"/>
  <c r="J16" i="3"/>
  <c r="H16" i="3"/>
  <c r="J15" i="3"/>
  <c r="H15" i="3"/>
  <c r="J14" i="3"/>
  <c r="H14" i="3"/>
  <c r="J13" i="3"/>
  <c r="H13" i="3"/>
  <c r="J12" i="3"/>
  <c r="H12" i="3"/>
  <c r="J11" i="3"/>
  <c r="H11" i="3"/>
  <c r="J10" i="3"/>
  <c r="H10" i="3"/>
  <c r="J9" i="3"/>
  <c r="H9" i="3"/>
  <c r="J8" i="3"/>
  <c r="H8" i="3"/>
  <c r="J7" i="3"/>
  <c r="H7" i="3"/>
  <c r="J6" i="3"/>
  <c r="H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alcChain>
</file>

<file path=xl/sharedStrings.xml><?xml version="1.0" encoding="utf-8"?>
<sst xmlns="http://purl.oclc.org/ooxml/spreadsheetml/main" count="177" uniqueCount="159">
  <si>
    <t>Namn</t>
  </si>
  <si>
    <t>LiU-ID</t>
  </si>
  <si>
    <t>Linnéa Egnér</t>
  </si>
  <si>
    <t>lineg196</t>
  </si>
  <si>
    <t>Analys Risk - Riskregister</t>
  </si>
  <si>
    <t>Sannolikhet</t>
  </si>
  <si>
    <t>Konsekvens</t>
  </si>
  <si>
    <t>ID</t>
  </si>
  <si>
    <t>Tillgång</t>
  </si>
  <si>
    <t>Egenskap (CIA/STRIDE)</t>
  </si>
  <si>
    <t>Riskscenario</t>
  </si>
  <si>
    <t>Orsaksbeskrivning</t>
  </si>
  <si>
    <t>Konsekvensbeskrivning</t>
  </si>
  <si>
    <t>Värde S 1-4</t>
  </si>
  <si>
    <t>Sannolikhetsnivå</t>
  </si>
  <si>
    <t>Värde K 1-4</t>
  </si>
  <si>
    <t>Konsekvensnivå</t>
  </si>
  <si>
    <t>Risknivå</t>
  </si>
  <si>
    <t>Kommentar</t>
  </si>
  <si>
    <t>Risk-001</t>
  </si>
  <si>
    <t>Extern enhet (mobil)</t>
  </si>
  <si>
    <t>Integrity</t>
  </si>
  <si>
    <t>Enheten infekteras med skadlig kod som manipulerar eller skickar felaktig information till affärssystemet</t>
  </si>
  <si>
    <t>Användaren installerar en skadlig app eller öppnar en infekterad fil genom att klicka på en skadlig länk, vilket gör att enheten kan tas över av en angripare</t>
  </si>
  <si>
    <t>Felaktig information kan skickas till affärssystemet och fakturor och bokföring kan bli felaktiga, vilket kan leda till felaktiga affärsbeslut</t>
  </si>
  <si>
    <t>Hög</t>
  </si>
  <si>
    <t xml:space="preserve">Betydande </t>
  </si>
  <si>
    <t>Utbilda personalen om phishing och grundläggande informationssäkerhet</t>
  </si>
  <si>
    <t>Risk-002</t>
  </si>
  <si>
    <t>Confidentiality</t>
  </si>
  <si>
    <t>Mobiltelefonen tappas bort eller blir stulen och obehöriga får åtkomst till kunduppgifter</t>
  </si>
  <si>
    <t>Enheten saknar skärmlås, MFA för åtkomst till molntjänsten eller möjlighet till fjärradering saknas</t>
  </si>
  <si>
    <t>Kundinformation kan läsas av obehöriga, vilket leder till informationsläckage och minskat förtroende. Risk för bristande efterlevnad av GDPR</t>
  </si>
  <si>
    <t>Medelhög</t>
  </si>
  <si>
    <t>Allvarlig</t>
  </si>
  <si>
    <t>Kräv skärmlås och MFA. Säkerställ att fjärradering av mobilen är möjlig</t>
  </si>
  <si>
    <t>Risk-003</t>
  </si>
  <si>
    <t>Molntjänst</t>
  </si>
  <si>
    <t>Availability</t>
  </si>
  <si>
    <t>Molntjänsten blir otillgänglig</t>
  </si>
  <si>
    <t>Tekniskt fel hos leverantören eller problem med internetanslutningen. En möjlig orsak är även en överbelastningsattack (DDoS)</t>
  </si>
  <si>
    <t>Personalen kan inte komma åt affärssystemet och får pausa arbetet tills molntjänsten är tillgänglig igen</t>
  </si>
  <si>
    <t>Ha reservrutiner och följ leverantörens driftstatus vid avbrott</t>
  </si>
  <si>
    <t>Risk-004</t>
  </si>
  <si>
    <t>Kundhantering</t>
  </si>
  <si>
    <t>En användare får åtkomst till kundinformation som den inte har behörighet att se</t>
  </si>
  <si>
    <t>Felaktigt konfigurerade behörigheter eller annan bristande åtkomstkontroll</t>
  </si>
  <si>
    <t>Känsliga kunduppgifter exponeras och företagets förtroende kan påverkas. Risk för bristande efterlevnad av GDPR</t>
  </si>
  <si>
    <t>Granska behörigheter regelbundet och använd principen om minsta behörighet</t>
  </si>
  <si>
    <t>Risk-005</t>
  </si>
  <si>
    <t>Kunduppgifter mot extern tjänst (Skatteverket)</t>
  </si>
  <si>
    <t>Felaktiga eller manipulerade kunduppgifter skickas till Skatteverket</t>
  </si>
  <si>
    <t>Fel i integrationen eller manipulering av data innan överföringen</t>
  </si>
  <si>
    <t>Felaktiga uppgifter registreras, vilket leder till extra administration och i värsta fall regelbrott eller sanktioner</t>
  </si>
  <si>
    <t>Logga överföringar till Skatteverket för att kunna felsöka och återställa vid behov</t>
  </si>
  <si>
    <t>Risk-006</t>
  </si>
  <si>
    <t>Dataflöde mellan Kundhanteringen och Databasen</t>
  </si>
  <si>
    <t>Kommunikation mellan kundhantering och databas avlyssnas</t>
  </si>
  <si>
    <t>Data överförs utan tillräcklig kryptering eller över ett osäkert nätverk</t>
  </si>
  <si>
    <t>Kundinformation kan läsas av obehöriga, vilket leder till informationsläckage och minskat förtroende. Risk för brott mot GDPR</t>
  </si>
  <si>
    <t>Låg</t>
  </si>
  <si>
    <t>Kryptera kommunikationen med TLS/HTTPS</t>
  </si>
  <si>
    <t>Risk-007</t>
  </si>
  <si>
    <t>Dataflöde mellan Kundhanteringen och Fakturasystemet</t>
  </si>
  <si>
    <t>Synkroniseringen mellan kundhantering och fakturasystemet misslyckas, vilket gör att fakturor inte skapas eller uppdateras korrekt</t>
  </si>
  <si>
    <t>Tekniskt fel i integrationen eller nätverksproblem</t>
  </si>
  <si>
    <t>Fakturor försenas eller uteblir, vilket påverkar verksamheten och kan leda till försenade betalningar</t>
  </si>
  <si>
    <t>Övervaka synkroniseringen och larma vid fel</t>
  </si>
  <si>
    <t>Risk-008</t>
  </si>
  <si>
    <t>Fakturasystem</t>
  </si>
  <si>
    <t>Fakturabelopp eller mottagare ändras innan fakturan skickas</t>
  </si>
  <si>
    <t>En angripare eller en obehörig användare får möjlighet att ändra informationen</t>
  </si>
  <si>
    <t>Felaktiga betalningar kan genomföras och företaget drabbas av ekonomiska förluster</t>
  </si>
  <si>
    <t>Begränsa behörigheter och logga alla ändringar av fakturor</t>
  </si>
  <si>
    <t>Risk-009</t>
  </si>
  <si>
    <t>Databas</t>
  </si>
  <si>
    <t xml:space="preserve">Databasen blir otillgänglig </t>
  </si>
  <si>
    <t>Fel på server, nätverk eller en överbelastningsattack (DDoS)</t>
  </si>
  <si>
    <t>Kundhanteringen kan inte läsa eller spara information och personalen kan behöva arbeta manuellt, vilket kan innebära förseningar eller ökad risk för fel</t>
  </si>
  <si>
    <t>Säkerhetskopiera databasen och ha en återställningsplan</t>
  </si>
  <si>
    <t>Risk-010</t>
  </si>
  <si>
    <t>Systemadministratör</t>
  </si>
  <si>
    <t>En angripare tar kontroll över administratörskontot</t>
  </si>
  <si>
    <t>Svaga lösenord, phishingattack eller läckta inloggningsuppgifter</t>
  </si>
  <si>
    <t>Angriparen kan läsa, ändra eller radera information samt ge sig själv högre behörighet</t>
  </si>
  <si>
    <t>Använd starka lösenord, MFA och separata administratörskonton</t>
  </si>
  <si>
    <t>Risk-011</t>
  </si>
  <si>
    <t>Risk-012</t>
  </si>
  <si>
    <t>Risk-013</t>
  </si>
  <si>
    <t>Risk-014</t>
  </si>
  <si>
    <t>Risk-015</t>
  </si>
  <si>
    <t>Risk-016</t>
  </si>
  <si>
    <t>Risk-017</t>
  </si>
  <si>
    <t>Risk-018</t>
  </si>
  <si>
    <t>Risk-019</t>
  </si>
  <si>
    <t>Risk-020</t>
  </si>
  <si>
    <t>Risk-021</t>
  </si>
  <si>
    <t>Risk-022</t>
  </si>
  <si>
    <t>Risk-023</t>
  </si>
  <si>
    <t>Risk-024</t>
  </si>
  <si>
    <t>Risk-025</t>
  </si>
  <si>
    <t>Risk-026</t>
  </si>
  <si>
    <t>Risk-027</t>
  </si>
  <si>
    <t>Risk-028</t>
  </si>
  <si>
    <t>Risk-029</t>
  </si>
  <si>
    <t>Risk-030</t>
  </si>
  <si>
    <t>Risk-031</t>
  </si>
  <si>
    <t>Risk-032</t>
  </si>
  <si>
    <t>Risk-033</t>
  </si>
  <si>
    <t>Risk-034</t>
  </si>
  <si>
    <t>Risk-035</t>
  </si>
  <si>
    <t>Risk-036</t>
  </si>
  <si>
    <t>Risk-037</t>
  </si>
  <si>
    <t>Risk-038</t>
  </si>
  <si>
    <t>Risk-039</t>
  </si>
  <si>
    <t>Risk-040</t>
  </si>
  <si>
    <t>Risk-041</t>
  </si>
  <si>
    <t>Risk-042</t>
  </si>
  <si>
    <t>Risk-043</t>
  </si>
  <si>
    <t>Risk-044</t>
  </si>
  <si>
    <t>Risk-045</t>
  </si>
  <si>
    <t>Risk-046</t>
  </si>
  <si>
    <t>Risk-047</t>
  </si>
  <si>
    <t>Risk-048</t>
  </si>
  <si>
    <t>Risk-049</t>
  </si>
  <si>
    <t>Risk-050</t>
  </si>
  <si>
    <t>Risknivåer</t>
  </si>
  <si>
    <t>Konsekvensnivåer</t>
  </si>
  <si>
    <t>Riskmatris</t>
  </si>
  <si>
    <t>Ekonomisk förlust</t>
  </si>
  <si>
    <t>Minskat förtroende</t>
  </si>
  <si>
    <t>Avbrott i verksamheten</t>
  </si>
  <si>
    <t>Bristande regelefterlevnad</t>
  </si>
  <si>
    <t>över 1 000 000 kr</t>
  </si>
  <si>
    <t>allvarlig påverkan på företagets rykte och risk att förlorade kunder</t>
  </si>
  <si>
    <t>verksamheten står stilla mer än en arbetsdag</t>
  </si>
  <si>
    <t>allvarligt lagbrott eller stora sanktionsavgifter (t.ex. GDPR)</t>
  </si>
  <si>
    <t>Betydande</t>
  </si>
  <si>
    <t>100 000 - 1 000 000 kr</t>
  </si>
  <si>
    <t>märkbar påverkan på kunders förtroende</t>
  </si>
  <si>
    <t>driftstopp under flera timmar som påverkar arbetet</t>
  </si>
  <si>
    <t>regelbrott som kräver rapportering eller åtgärder</t>
  </si>
  <si>
    <t>Måttlig</t>
  </si>
  <si>
    <t>10 000 - 100 000 kr</t>
  </si>
  <si>
    <t>begränsad påverkan på förtroendet hos vissa kunder</t>
  </si>
  <si>
    <t>driftstopp mellan 30 minuter och 3 timmar</t>
  </si>
  <si>
    <t>mindre avvikelser från interna rutiner</t>
  </si>
  <si>
    <t>Försumbar</t>
  </si>
  <si>
    <t>under 10 000 kr</t>
  </si>
  <si>
    <t>ingen eller mycket liten påverkan på förtroendet</t>
  </si>
  <si>
    <t>kortare störning utan större påverkan</t>
  </si>
  <si>
    <t>ingen eller mycket liten påverkan på efterlevnaden</t>
  </si>
  <si>
    <t>Sannolikhetsnivåer</t>
  </si>
  <si>
    <t>Mycket hög</t>
  </si>
  <si>
    <t>förväntas inträffa flera gånger per år</t>
  </si>
  <si>
    <t>kan inträffa ungefär en gång per år</t>
  </si>
  <si>
    <t>kan inträffa någon gång under en treårsperiod</t>
  </si>
  <si>
    <t>osannolikt men kan inträffa under särskilda omständigheter</t>
  </si>
  <si>
    <t>Detta ark används av Excel för att hämta uppgifter som används i de andra kalkylarken. Normalt sett behöver ni inte ändra här.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</si>
</sst>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2">
    <numFmt numFmtId="164" formatCode="000&quot; &quot;00"/>
    <numFmt numFmtId="165" formatCode="m/d/yyyy"/>
  </numFmts>
  <fonts count="12" x14ac:knownFonts="1">
    <font>
      <sz val="12"/>
      <color rgb="FF000000"/>
      <name val="Calibri"/>
      <family val="2"/>
    </font>
    <font>
      <sz val="12"/>
      <color rgb="FF000000"/>
      <name val="Calibri"/>
      <family val="2"/>
    </font>
    <font>
      <sz val="12"/>
      <color rgb="FFFFFFFF"/>
      <name val="Calibri"/>
      <family val="2"/>
    </font>
    <font>
      <u/>
      <sz val="12"/>
      <color rgb="FF954F72"/>
      <name val="Calibri"/>
      <family val="2"/>
    </font>
    <font>
      <u/>
      <sz val="12"/>
      <color rgb="FF0563C1"/>
      <name val="Calibri"/>
      <family val="2"/>
    </font>
    <font>
      <b/>
      <sz val="12"/>
      <color rgb="FF000000"/>
      <name val="Calibri"/>
      <family val="2"/>
    </font>
    <font>
      <sz val="14"/>
      <color rgb="FF000000"/>
      <name val="Calibri"/>
      <family val="2"/>
    </font>
    <font>
      <sz val="26"/>
      <color rgb="FF000000"/>
      <name val="Calibri"/>
      <family val="2"/>
    </font>
    <font>
      <sz val="16"/>
      <color rgb="FF000000"/>
      <name val="Calibri"/>
      <family val="2"/>
    </font>
    <font>
      <b/>
      <sz val="14"/>
      <color rgb="FF000000"/>
      <name val="Calibri"/>
      <family val="2"/>
    </font>
    <font>
      <i/>
      <sz val="10"/>
      <color rgb="FF000000"/>
      <name val="Calibri (Brödtext)"/>
    </font>
    <font>
      <i/>
      <sz val="10"/>
      <color rgb="FF000000"/>
      <name val="Calibri"/>
      <family val="2"/>
    </font>
  </fonts>
  <fills count="12">
    <fill>
      <patternFill patternType="none"/>
    </fill>
    <fill>
      <patternFill patternType="gray125"/>
    </fill>
    <fill>
      <patternFill patternType="solid">
        <fgColor rgb="FFD9E1F2"/>
        <bgColor rgb="FFD9E1F2"/>
      </patternFill>
    </fill>
    <fill>
      <patternFill patternType="solid">
        <fgColor rgb="FFFFF2CC"/>
        <bgColor rgb="FFFFF2CC"/>
      </patternFill>
    </fill>
    <fill>
      <patternFill patternType="solid">
        <fgColor rgb="FFFF0000"/>
        <bgColor rgb="FFFF0000"/>
      </patternFill>
    </fill>
    <fill>
      <patternFill patternType="solid">
        <fgColor rgb="FFC6E0B4"/>
        <bgColor rgb="FFC6E0B4"/>
      </patternFill>
    </fill>
    <fill>
      <patternFill patternType="solid">
        <fgColor rgb="FFFFD966"/>
        <bgColor rgb="FFFFD966"/>
      </patternFill>
    </fill>
    <fill>
      <patternFill patternType="solid">
        <fgColor rgb="FFFFC000"/>
        <bgColor rgb="FFFFC000"/>
      </patternFill>
    </fill>
    <fill>
      <patternFill patternType="solid">
        <fgColor rgb="FFFFE699"/>
        <bgColor rgb="FFFFE699"/>
      </patternFill>
    </fill>
    <fill>
      <patternFill patternType="solid">
        <fgColor rgb="FFED7D31"/>
        <bgColor rgb="FFED7D31"/>
      </patternFill>
    </fill>
    <fill>
      <patternFill patternType="solid">
        <fgColor rgb="FFC00000"/>
        <bgColor rgb="FFC00000"/>
      </patternFill>
    </fill>
    <fill>
      <patternFill patternType="solid">
        <fgColor rgb="FF4472C4"/>
        <bgColor rgb="FF4472C4"/>
      </patternFill>
    </fill>
  </fills>
  <borders count="4">
    <border>
      <start/>
      <end/>
      <top/>
      <bottom/>
      <diagonal/>
    </border>
    <border>
      <start style="thin">
        <color rgb="FF000000"/>
      </start>
      <end style="thin">
        <color rgb="FF000000"/>
      </end>
      <top style="thin">
        <color rgb="FF000000"/>
      </top>
      <bottom style="thin">
        <color rgb="FF000000"/>
      </bottom>
      <diagonal/>
    </border>
    <border>
      <start style="medium">
        <color rgb="FFFFFFFF"/>
      </start>
      <end/>
      <top/>
      <bottom style="medium">
        <color rgb="FFFFFFFF"/>
      </bottom>
      <diagonal/>
    </border>
    <border>
      <start/>
      <end style="medium">
        <color rgb="FFFFFFFF"/>
      </end>
      <top/>
      <bottom style="medium">
        <color rgb="FFFFFFFF"/>
      </bottom>
      <diagonal/>
    </border>
  </borders>
  <cellStyleXfs count="15">
    <xf numFmtId="0" fontId="0" fillId="0" borderId="0"/>
    <xf numFmtId="0" fontId="1" fillId="2" borderId="0" applyNumberFormat="0" applyFont="0" applyBorder="0" applyAlignment="0" applyProtection="0"/>
    <xf numFmtId="0" fontId="1" fillId="3" borderId="0" applyNumberFormat="0" applyFont="0" applyBorder="0" applyAlignment="0" applyProtection="0"/>
    <xf numFmtId="0" fontId="2" fillId="4" borderId="0" applyNumberFormat="0" applyBorder="0" applyAlignment="0" applyProtection="0"/>
    <xf numFmtId="0" fontId="1" fillId="5" borderId="0" applyNumberFormat="0" applyFont="0" applyBorder="0" applyAlignment="0" applyProtection="0"/>
    <xf numFmtId="0" fontId="1" fillId="6" borderId="0" applyNumberFormat="0" applyFont="0" applyBorder="0" applyAlignment="0" applyProtection="0"/>
    <xf numFmtId="0" fontId="1" fillId="7" borderId="0" applyNumberFormat="0" applyFont="0" applyBorder="0" applyAlignment="0" applyProtection="0"/>
    <xf numFmtId="0" fontId="1" fillId="8" borderId="0" applyNumberFormat="0" applyFont="0" applyBorder="0" applyAlignment="0" applyProtection="0"/>
    <xf numFmtId="0" fontId="2" fillId="9" borderId="0" applyNumberFormat="0" applyBorder="0" applyAlignment="0" applyProtection="0"/>
    <xf numFmtId="0" fontId="1" fillId="7" borderId="0" applyNumberFormat="0" applyFont="0" applyBorder="0" applyAlignment="0" applyProtection="0"/>
    <xf numFmtId="0" fontId="1" fillId="6" borderId="0" applyNumberFormat="0" applyFont="0" applyBorder="0" applyAlignment="0" applyProtection="0"/>
    <xf numFmtId="0" fontId="1" fillId="8" borderId="0" applyNumberFormat="0" applyFont="0" applyBorder="0" applyAlignment="0" applyProtection="0"/>
    <xf numFmtId="0" fontId="2" fillId="10" borderId="0" applyNumberFormat="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47">
    <xf numFmtId="0" fontId="0" fillId="0" borderId="0" xfId="0"/>
    <xf numFmtId="0" fontId="5" fillId="0" borderId="0" xfId="0" applyFont="1"/>
    <xf numFmtId="49" fontId="6" fillId="0" borderId="0" xfId="0" applyNumberFormat="1" applyFont="1" applyAlignment="1">
      <alignment horizontal="left" vertical="top" wrapText="1"/>
    </xf>
    <xf numFmtId="0" fontId="6" fillId="0" borderId="0" xfId="0" applyFont="1" applyAlignment="1">
      <alignment horizontal="left" vertical="top"/>
    </xf>
    <xf numFmtId="0" fontId="6" fillId="0" borderId="0" xfId="0" applyFont="1"/>
    <xf numFmtId="49" fontId="7" fillId="0" borderId="0" xfId="0" applyNumberFormat="1" applyFont="1" applyAlignment="1">
      <alignment horizontal="left" vertical="top"/>
    </xf>
    <xf numFmtId="49" fontId="8" fillId="0" borderId="0" xfId="0" applyNumberFormat="1" applyFont="1" applyAlignment="1">
      <alignment horizontal="left" vertical="top" wrapText="1"/>
    </xf>
    <xf numFmtId="1" fontId="6" fillId="0" borderId="0" xfId="0" applyNumberFormat="1" applyFont="1" applyAlignment="1">
      <alignment horizontal="left" vertical="top"/>
    </xf>
    <xf numFmtId="49" fontId="6" fillId="11" borderId="0" xfId="0" applyNumberFormat="1" applyFont="1" applyFill="1" applyAlignment="1">
      <alignment horizontal="left" vertical="top" wrapText="1"/>
    </xf>
    <xf numFmtId="49" fontId="6" fillId="11" borderId="2" xfId="0" applyNumberFormat="1" applyFont="1" applyFill="1" applyBorder="1" applyAlignment="1">
      <alignment horizontal="left" vertical="top" wrapText="1"/>
    </xf>
    <xf numFmtId="49" fontId="6" fillId="11" borderId="3" xfId="0" applyNumberFormat="1" applyFont="1" applyFill="1" applyBorder="1" applyAlignment="1">
      <alignment horizontal="left" vertical="top" wrapText="1"/>
    </xf>
    <xf numFmtId="49" fontId="6" fillId="11" borderId="0" xfId="0" applyNumberFormat="1" applyFont="1" applyFill="1" applyAlignment="1">
      <alignment horizontal="left" vertical="top"/>
    </xf>
    <xf numFmtId="49" fontId="6" fillId="2" borderId="0" xfId="0" applyNumberFormat="1" applyFont="1" applyFill="1" applyAlignment="1">
      <alignment horizontal="left" vertical="top" wrapText="1"/>
    </xf>
    <xf numFmtId="1" fontId="1" fillId="2" borderId="0" xfId="1" applyNumberFormat="1" applyFill="1" applyAlignment="1">
      <alignment horizontal="center" vertical="top" wrapText="1"/>
    </xf>
    <xf numFmtId="0" fontId="1" fillId="2" borderId="0" xfId="1" applyFill="1" applyAlignment="1">
      <alignment horizontal="left" vertical="top" wrapText="1"/>
    </xf>
    <xf numFmtId="0" fontId="6" fillId="2" borderId="0" xfId="0" applyFont="1" applyFill="1" applyAlignment="1">
      <alignment horizontal="left" vertical="top" wrapText="1"/>
    </xf>
    <xf numFmtId="1" fontId="9" fillId="2" borderId="0" xfId="0" applyNumberFormat="1" applyFont="1" applyFill="1" applyAlignment="1">
      <alignment horizontal="center" vertical="top"/>
    </xf>
    <xf numFmtId="164" fontId="6" fillId="2" borderId="0" xfId="0" applyNumberFormat="1" applyFont="1" applyFill="1" applyAlignment="1">
      <alignment horizontal="left" vertical="top" wrapText="1"/>
    </xf>
    <xf numFmtId="1" fontId="6" fillId="2" borderId="0" xfId="0" applyNumberFormat="1" applyFont="1" applyFill="1" applyAlignment="1">
      <alignment horizontal="center" vertical="top" wrapText="1"/>
    </xf>
    <xf numFmtId="0" fontId="6" fillId="2" borderId="0" xfId="0" applyFont="1" applyFill="1" applyAlignment="1" applyProtection="1">
      <alignment horizontal="left" vertical="top" wrapText="1"/>
      <protection locked="0"/>
    </xf>
    <xf numFmtId="165" fontId="6" fillId="0" borderId="0" xfId="0" applyNumberFormat="1" applyFont="1"/>
    <xf numFmtId="0" fontId="2" fillId="0" borderId="0" xfId="0" applyFont="1" applyAlignment="1">
      <alignment horizontal="center"/>
    </xf>
    <xf numFmtId="0" fontId="0" fillId="0" borderId="0" xfId="0" applyAlignment="1">
      <alignment horizontal="center"/>
    </xf>
    <xf numFmtId="49" fontId="9" fillId="0" borderId="1" xfId="0" applyNumberFormat="1" applyFont="1" applyFill="1" applyBorder="1" applyAlignment="1">
      <alignment horizontal="center" vertical="top" wrapText="1"/>
    </xf>
    <xf numFmtId="0" fontId="7" fillId="0" borderId="0" xfId="0" applyFont="1"/>
    <xf numFmtId="0" fontId="9" fillId="0" borderId="0" xfId="0" applyFont="1"/>
    <xf numFmtId="0" fontId="0" fillId="7" borderId="1" xfId="0" applyFill="1" applyBorder="1"/>
    <xf numFmtId="0" fontId="2" fillId="9" borderId="1" xfId="0" applyFont="1" applyFill="1" applyBorder="1"/>
    <xf numFmtId="0" fontId="2" fillId="4" borderId="1" xfId="0" applyFont="1" applyFill="1" applyBorder="1"/>
    <xf numFmtId="0" fontId="2" fillId="10" borderId="1" xfId="0" applyFont="1" applyFill="1" applyBorder="1"/>
    <xf numFmtId="0" fontId="0" fillId="7" borderId="0" xfId="0" applyFill="1"/>
    <xf numFmtId="0" fontId="11" fillId="0" borderId="0" xfId="0" applyFont="1"/>
    <xf numFmtId="0" fontId="0" fillId="6" borderId="1" xfId="0" applyFill="1" applyBorder="1"/>
    <xf numFmtId="0" fontId="0" fillId="6" borderId="0" xfId="0" applyFill="1"/>
    <xf numFmtId="0" fontId="0" fillId="8" borderId="1" xfId="0" applyFill="1" applyBorder="1"/>
    <xf numFmtId="0" fontId="0" fillId="8" borderId="0" xfId="0" applyFill="1"/>
    <xf numFmtId="0" fontId="0" fillId="3" borderId="1" xfId="0" applyFill="1" applyBorder="1"/>
    <xf numFmtId="0" fontId="0" fillId="3" borderId="0" xfId="0" applyFill="1"/>
    <xf numFmtId="0" fontId="2" fillId="10" borderId="0" xfId="0" applyFont="1" applyFill="1" applyAlignment="1">
      <alignment horizontal="center"/>
    </xf>
    <xf numFmtId="0" fontId="2" fillId="4" borderId="0" xfId="0" applyFont="1" applyFill="1" applyAlignment="1">
      <alignment horizontal="center"/>
    </xf>
    <xf numFmtId="0" fontId="2" fillId="9" borderId="0" xfId="0" applyFont="1" applyFill="1" applyAlignment="1">
      <alignment horizontal="center"/>
    </xf>
    <xf numFmtId="0" fontId="0" fillId="7" borderId="0" xfId="0" applyFill="1" applyAlignment="1">
      <alignment horizontal="center"/>
    </xf>
    <xf numFmtId="0" fontId="0" fillId="6" borderId="0" xfId="0" applyFill="1" applyAlignment="1">
      <alignment horizontal="center"/>
    </xf>
    <xf numFmtId="0" fontId="0" fillId="8" borderId="0" xfId="0" applyFill="1" applyAlignment="1">
      <alignment horizontal="center"/>
    </xf>
    <xf numFmtId="0" fontId="0" fillId="3" borderId="0" xfId="0" applyFill="1" applyAlignment="1">
      <alignment horizontal="center"/>
    </xf>
    <xf numFmtId="0" fontId="10" fillId="0" borderId="0" xfId="0" applyFont="1" applyAlignment="1">
      <alignment horizontal="left" wrapText="1"/>
    </xf>
    <xf numFmtId="0" fontId="11" fillId="0" borderId="0" xfId="0" applyFont="1" applyAlignment="1">
      <alignment horizontal="left"/>
    </xf>
  </cellXfs>
  <cellStyles count="15">
    <cellStyle name="20 % - Dekorfärg1" xfId="1" builtinId="30" customBuiltin="1"/>
    <cellStyle name="cf1" xfId="2"/>
    <cellStyle name="cf10" xfId="3"/>
    <cellStyle name="cf11" xfId="4"/>
    <cellStyle name="cf2" xfId="5"/>
    <cellStyle name="cf3" xfId="6"/>
    <cellStyle name="cf4" xfId="7"/>
    <cellStyle name="cf5" xfId="8"/>
    <cellStyle name="cf6" xfId="9"/>
    <cellStyle name="cf7" xfId="10"/>
    <cellStyle name="cf8" xfId="11"/>
    <cellStyle name="cf9" xfId="12"/>
    <cellStyle name="Följd hyperlänk" xfId="13"/>
    <cellStyle name="Hyperlänk" xfId="14"/>
    <cellStyle name="Normal" xfId="0" builtinId="0" customBuiltin="1"/>
  </cellStyles>
  <dxfs count="162">
    <dxf>
      <fill>
        <patternFill patternType="solid">
          <fgColor rgb="FFC6E0B4"/>
          <bgColor rgb="FFC6E0B4"/>
        </patternFill>
      </fill>
    </dxf>
    <dxf>
      <fill>
        <patternFill patternType="solid">
          <fgColor rgb="FFC6E0B4"/>
          <bgColor rgb="FFC6E0B4"/>
        </patternFill>
      </fill>
    </dxf>
    <dxf>
      <fill>
        <patternFill patternType="solid">
          <fgColor rgb="FFC6E0B4"/>
          <bgColor rgb="FFC6E0B4"/>
        </patternFill>
      </fill>
    </dxf>
    <dxf>
      <fill>
        <patternFill patternType="solid">
          <fgColor rgb="FFFFE699"/>
          <bgColor rgb="FFFFE699"/>
        </patternFill>
      </fill>
    </dxf>
    <dxf>
      <fill>
        <patternFill patternType="solid">
          <fgColor rgb="FFFFE699"/>
          <bgColor rgb="FFFFE699"/>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F2CC"/>
          <bgColor rgb="FFFFF2CC"/>
        </patternFill>
      </fill>
    </dxf>
    <dxf>
      <fill>
        <patternFill patternType="solid">
          <fgColor rgb="FFFFF2CC"/>
          <bgColor rgb="FFFFF2CC"/>
        </patternFill>
      </fill>
    </dxf>
    <dxf>
      <fill>
        <patternFill patternType="solid">
          <fgColor rgb="FFFFD966"/>
          <bgColor rgb="FFFFD966"/>
        </patternFill>
      </fill>
    </dxf>
    <dxf>
      <fill>
        <patternFill patternType="solid">
          <fgColor rgb="FFFFC000"/>
          <bgColor rgb="FFFFC000"/>
        </patternFill>
      </fill>
    </dxf>
    <dxf>
      <font>
        <color rgb="FFFFFFFF"/>
        <family val="2"/>
      </font>
      <fill>
        <patternFill patternType="solid">
          <fgColor rgb="FFC00000"/>
          <bgColor rgb="FFC00000"/>
        </patternFill>
      </fill>
    </dxf>
    <dxf>
      <font>
        <color rgb="FFFFFFFF"/>
        <family val="2"/>
      </font>
      <fill>
        <patternFill patternType="solid">
          <fgColor rgb="FFFF0000"/>
          <bgColor rgb="FFFF0000"/>
        </patternFill>
      </fill>
    </dxf>
    <dxf>
      <font>
        <color rgb="FFFFFFFF"/>
        <family val="2"/>
      </font>
      <fill>
        <patternFill patternType="solid">
          <fgColor rgb="FFED7D31"/>
          <bgColor rgb="FFED7D31"/>
        </patternFill>
      </fill>
    </dxf>
    <dxf>
      <fill>
        <patternFill patternType="solid">
          <fgColor rgb="FFFFC000"/>
          <bgColor rgb="FFFFC000"/>
        </patternFill>
      </fill>
    </dxf>
    <dxf>
      <fill>
        <patternFill patternType="solid">
          <fgColor rgb="FFFFC000"/>
          <bgColor rgb="FFFFC000"/>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C000"/>
          <bgColor rgb="FFFFC000"/>
        </patternFill>
      </fill>
    </dxf>
    <dxf>
      <fill>
        <patternFill patternType="solid">
          <fgColor rgb="FFFFD966"/>
          <bgColor rgb="FFFFD966"/>
        </patternFill>
      </fill>
    </dxf>
    <dxf>
      <fill>
        <patternFill patternType="solid">
          <fgColor rgb="FFFFD966"/>
          <bgColor rgb="FFFFD966"/>
        </patternFill>
      </fill>
    </dxf>
    <dxf>
      <fill>
        <patternFill patternType="solid">
          <fgColor rgb="FFFFD966"/>
          <bgColor rgb="FFFFD966"/>
        </patternFill>
      </fill>
    </dxf>
    <dxf>
      <fill>
        <patternFill patternType="solid">
          <fgColor rgb="FFFFE699"/>
          <bgColor rgb="FFFFE699"/>
        </patternFill>
      </fill>
    </dxf>
    <dxf>
      <fill>
        <patternFill patternType="solid">
          <fgColor rgb="FFFFE699"/>
          <bgColor rgb="FFFFE699"/>
        </patternFill>
      </fill>
    </dxf>
    <dxf>
      <fill>
        <patternFill patternType="solid">
          <fgColor rgb="FFFFE699"/>
          <bgColor rgb="FFFFE699"/>
        </patternFill>
      </fill>
    </dxf>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
      <fill>
        <patternFill patternType="solid">
          <fgColor rgb="FFC6E0B4"/>
          <bgColor rgb="FFC6E0B4"/>
        </patternFill>
      </fill>
    </dxf>
    <dxf>
      <fill>
        <patternFill patternType="solid">
          <fgColor rgb="FFC6E0B4"/>
          <bgColor rgb="FFC6E0B4"/>
        </patternFill>
      </fill>
    </dxf>
    <dxf>
      <fill>
        <patternFill patternType="solid">
          <fgColor rgb="FFC6E0B4"/>
          <bgColor rgb="FFC6E0B4"/>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ont>
        <color rgb="FFFFFFFF"/>
        <family val="2"/>
      </font>
      <fill>
        <patternFill patternType="solid">
          <fgColor rgb="FFED7D31"/>
          <bgColor rgb="FFED7D31"/>
        </patternFill>
      </fill>
    </dxf>
    <dxf>
      <font>
        <color rgb="FFFFFFFF"/>
        <family val="2"/>
      </font>
      <fill>
        <patternFill patternType="solid">
          <fgColor rgb="FFFF0000"/>
          <bgColor rgb="FFFF0000"/>
        </patternFill>
      </fill>
    </dxf>
    <dxf>
      <font>
        <color rgb="FFFFFFFF"/>
        <family val="2"/>
      </font>
      <fill>
        <patternFill patternType="solid">
          <fgColor rgb="FFC00000"/>
          <bgColor rgb="FFC00000"/>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C000"/>
          <bgColor rgb="FFFFC000"/>
        </patternFill>
      </fill>
    </dxf>
    <dxf>
      <fill>
        <patternFill patternType="solid">
          <fgColor rgb="FFFFD966"/>
          <bgColor rgb="FFFFD966"/>
        </patternFill>
      </fill>
    </dxf>
    <dxf>
      <fill>
        <patternFill patternType="solid">
          <fgColor rgb="FFFFF2CC"/>
          <bgColor rgb="FFFFF2CC"/>
        </patternFill>
      </fill>
    </dxf>
    <dxf>
      <fill>
        <patternFill patternType="solid">
          <fgColor rgb="FFFFE699"/>
          <bgColor rgb="FFFFE699"/>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C000"/>
          <bgColor rgb="FFFFC000"/>
        </patternFill>
      </fill>
    </dxf>
    <dxf>
      <fill>
        <patternFill patternType="solid">
          <fgColor rgb="FFFFD966"/>
          <bgColor rgb="FFFFD966"/>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E699"/>
          <bgColor rgb="FFFFE699"/>
        </patternFill>
      </fill>
    </dxf>
    <dxf>
      <fill>
        <patternFill patternType="solid">
          <fgColor rgb="FFFFC000"/>
          <bgColor rgb="FFFFC000"/>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C000"/>
          <bgColor rgb="FFFFC000"/>
        </patternFill>
      </fill>
    </dxf>
    <dxf>
      <fill>
        <patternFill patternType="solid">
          <fgColor rgb="FFFFC000"/>
          <bgColor rgb="FFFFC000"/>
        </patternFill>
      </fill>
    </dxf>
    <dxf>
      <fill>
        <patternFill patternType="solid">
          <fgColor rgb="FFFFD966"/>
          <bgColor rgb="FFFFD966"/>
        </patternFill>
      </fill>
    </dxf>
    <dxf>
      <fill>
        <patternFill patternType="solid">
          <fgColor rgb="FFFFF2CC"/>
          <bgColor rgb="FFFFF2CC"/>
        </patternFill>
      </fill>
    </dxf>
    <dxf>
      <fill>
        <patternFill patternType="solid">
          <fgColor rgb="FFFFE699"/>
          <bgColor rgb="FFFFE699"/>
        </patternFill>
      </fill>
    </dxf>
    <dxf>
      <fill>
        <patternFill patternType="solid">
          <fgColor rgb="FFFFD966"/>
          <bgColor rgb="FFFFD966"/>
        </patternFill>
      </fill>
    </dxf>
    <dxf>
      <fill>
        <patternFill patternType="solid">
          <fgColor rgb="FFFFE699"/>
          <bgColor rgb="FFFFE699"/>
        </patternFill>
      </fill>
    </dxf>
    <dxf>
      <fill>
        <patternFill patternType="solid">
          <fgColor rgb="FFFFF2CC"/>
          <bgColor rgb="FFFFF2CC"/>
        </patternFill>
      </fill>
    </dxf>
    <dxf>
      <fill>
        <patternFill patternType="solid">
          <fgColor rgb="FFFFC000"/>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sharedStrings" Target="sharedStrings.xml"/><Relationship Id="rId3" Type="http://purl.oclc.org/ooxml/officeDocument/relationships/worksheet" Target="worksheets/sheet3.xml"/><Relationship Id="rId7" Type="http://purl.oclc.org/ooxml/officeDocument/relationships/styles" Target="styles.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theme" Target="theme/theme1.xml"/><Relationship Id="rId5" Type="http://purl.oclc.org/ooxml/officeDocument/relationships/worksheet" Target="worksheets/sheet5.xml"/><Relationship Id="rId4" Type="http://purl.oclc.org/ooxml/officeDocument/relationships/worksheet" Target="worksheets/sheet4.xml"/><Relationship Id="rId9" Type="http://purl.oclc.org/ooxml/officeDocument/relationships/calcChain" Target="calcChain.xml"/></Relationships>
</file>

<file path=xl/drawings/drawing1.xml><?xml version="1.0" encoding="utf-8"?>
<xdr:wsDr xmlns:xdr="http://purl.oclc.org/ooxml/drawingml/spreadsheetDrawing" xmlns:a="http://purl.oclc.org/ooxml/drawingml/main">
  <xdr:oneCellAnchor>
    <xdr:from>
      <xdr:col>2</xdr:col>
      <xdr:colOff>31747</xdr:colOff>
      <xdr:row>2</xdr:row>
      <xdr:rowOff>165094</xdr:rowOff>
    </xdr:from>
    <xdr:ext cx="8451854" cy="8973610"/>
    <xdr:sp macro="" textlink="">
      <xdr:nvSpPr>
        <xdr:cNvPr id="2" name="textruta 1">
          <a:extLst>
            <a:ext uri="{FF2B5EF4-FFF2-40B4-BE49-F238E27FC236}">
              <a16:creationId xmlns:a16="http://schemas.microsoft.com/office/drawing/2014/main" id="{F11189F6-29F7-8F91-80D0-71FA92C87E4F}"/>
            </a:ext>
          </a:extLst>
        </xdr:cNvPr>
        <xdr:cNvSpPr txBox="1"/>
      </xdr:nvSpPr>
      <xdr:spPr>
        <a:xfrm>
          <a:off x="1835147" y="571494"/>
          <a:ext cx="8451854" cy="8973610"/>
        </a:xfrm>
        <a:prstGeom prst="rect">
          <a:avLst/>
        </a:prstGeom>
      </xdr:spPr>
      <xdr:txBody>
        <a:bodyPr lIns="0" tIns="0" rIns="0" bIns="0"/>
        <a:lstStyle/>
        <a:p>
          <a:pPr lvl="0">
            <a:buNone/>
          </a:pPr>
          <a:r>
            <a:rPr lang="sv-SE"/>
            <a:t>Manual Verktyget Risk</a:t>
          </a:r>
        </a:p>
        <a:p>
          <a:pPr lvl="0">
            <a:buNone/>
          </a:pPr>
          <a:endParaRPr lang="sv-SE"/>
        </a:p>
        <a:p>
          <a:pPr lvl="0">
            <a:buNone/>
          </a:pPr>
          <a:r>
            <a:rPr lang="sv-SE"/>
            <a:t>Detta verktyg är en anpassning av det riskhanteringsverktyg som tillhandahålls av sajten informationssakerhet.se. Filen används i kursen ETE352 Cybersäkerhet - grunder och medvetenhet som ges vid Linköpings universitet. Anpassningarna har gjorts för att passa kursen och att tydliggöra kopplingen till tillgångar och hotmodelleringen. Den är också något förenklad genom att kategorin riskägare är borttagen eftersom detta är organisationsspecifikt. Om en verklig riskanalys ska göras så bör det ursprungliga verktyget användas anpassas, denna fil är primärt avsedd för undervisning.</a:t>
          </a:r>
        </a:p>
        <a:p>
          <a:pPr lvl="0">
            <a:buNone/>
          </a:pPr>
          <a:endParaRPr lang="sv-SE"/>
        </a:p>
        <a:p>
          <a:pPr lvl="0">
            <a:buNone/>
          </a:pPr>
          <a:r>
            <a:rPr lang="sv-SE"/>
            <a:t>1. Fyll i studentdata</a:t>
          </a:r>
        </a:p>
        <a:p>
          <a:pPr lvl="0">
            <a:buNone/>
          </a:pPr>
          <a:r>
            <a:rPr lang="sv-SE"/>
            <a:t>Skriv ditt namn och LiU-ID i fliken "Studentdata" i respektive kolumn.</a:t>
          </a:r>
        </a:p>
        <a:p>
          <a:pPr lvl="0">
            <a:buNone/>
          </a:pPr>
          <a:endParaRPr lang="sv-SE"/>
        </a:p>
        <a:p>
          <a:pPr lvl="0">
            <a:buNone/>
          </a:pPr>
          <a:r>
            <a:rPr lang="sv-SE"/>
            <a:t>2. Definiera risknivåer </a:t>
          </a:r>
        </a:p>
        <a:p>
          <a:pPr lvl="0">
            <a:buNone/>
          </a:pPr>
          <a:r>
            <a:rPr lang="sv-SE"/>
            <a:t>Under fliken Risknivåer kan man fastställa vad de olika nivåerna av sannolikhet och konsekvens har för innebörd. För konsekvens finns kategorierna Ekonomisk förlust, Minskat förtroende, Avbrott i verksamheten, och Bristande regelefterlevnad.</a:t>
          </a:r>
        </a:p>
        <a:p>
          <a:pPr lvl="0">
            <a:buNone/>
          </a:pPr>
          <a:endParaRPr lang="sv-SE"/>
        </a:p>
        <a:p>
          <a:pPr lvl="0">
            <a:buNone/>
          </a:pPr>
          <a:r>
            <a:rPr lang="sv-SE"/>
            <a:t>För sannolikhetsnivåerna bör man ange intervall för de fyra nivåerna. Exempelvis kan man med "Låg sannolikhet" ange färre än en incident på tio år.</a:t>
          </a:r>
        </a:p>
        <a:p>
          <a:pPr lvl="0">
            <a:buNone/>
          </a:pPr>
          <a:endParaRPr lang="sv-SE"/>
        </a:p>
        <a:p>
          <a:pPr lvl="0">
            <a:buNone/>
          </a:pPr>
          <a:r>
            <a:rPr lang="sv-SE"/>
            <a:t>Risknivåerna bör definieras initialt, innan riskanalyser genomförs, eftersom det är viktigt att organisationen har en gemensam uppfattning om vad som avses med exempelvis "Hög sannolikhet". </a:t>
          </a:r>
        </a:p>
        <a:p>
          <a:pPr lvl="0">
            <a:buNone/>
          </a:pPr>
          <a:endParaRPr lang="sv-SE"/>
        </a:p>
        <a:p>
          <a:pPr lvl="0">
            <a:buNone/>
          </a:pPr>
          <a:r>
            <a:rPr lang="sv-SE"/>
            <a:t>3. Beskriv risker i fliken "Riskregister"</a:t>
          </a:r>
        </a:p>
        <a:p>
          <a:pPr lvl="0">
            <a:buNone/>
          </a:pPr>
          <a:r>
            <a:rPr lang="sv-SE"/>
            <a:t>Kolumnerna Tillgång (B), Egenskap (C), Riskcenario (D), Orsaksbeskrivning (E), Konsekvensbeskrivning (F),  och Kommentar (L) fylls i med vanlig text.</a:t>
          </a:r>
        </a:p>
        <a:p>
          <a:pPr lvl="0">
            <a:buNone/>
          </a:pPr>
          <a:endParaRPr lang="sv-SE"/>
        </a:p>
        <a:p>
          <a:pPr lvl="0">
            <a:buNone/>
          </a:pPr>
          <a:r>
            <a:rPr lang="sv-SE"/>
            <a:t>För att ange nivåer av sannolikhet och konsekvens, gör så här:</a:t>
          </a:r>
        </a:p>
        <a:p>
          <a:pPr lvl="0">
            <a:buNone/>
          </a:pPr>
          <a:endParaRPr lang="sv-SE"/>
        </a:p>
        <a:p>
          <a:pPr lvl="0">
            <a:buNone/>
          </a:pPr>
          <a:r>
            <a:rPr lang="sv-SE"/>
            <a:t>Skriv manuellt in numeriska värden (1-4) i kolumnerna G och I. Då fylls de verbala beskrivningarna av sannolikhet (kolumn H) och konsekvens (kolumn J) samt risknivån (kolumn K) i automatiskt. Formateringarna (färgerna) ändras också automatiskt. </a:t>
          </a:r>
        </a:p>
        <a:p>
          <a:pPr lvl="0">
            <a:buNone/>
          </a:pPr>
          <a:endParaRPr lang="sv-SE"/>
        </a:p>
        <a:p>
          <a:pPr lvl="0">
            <a:buNone/>
          </a:pPr>
          <a:r>
            <a:rPr lang="sv-SE"/>
            <a:t>4. Modifiering av verktyget (behövs inte för kursen)</a:t>
          </a:r>
        </a:p>
        <a:p>
          <a:pPr lvl="0">
            <a:buNone/>
          </a:pPr>
          <a:r>
            <a:rPr lang="sv-SE"/>
            <a:t>Visuellt kan färgskalorna i kolumnerna ändras för sannolikhet, konsekvens och risknivå med "Villkorsstyrd formatering" upp i verktygsfältet.</a:t>
          </a:r>
        </a:p>
        <a:p>
          <a:pPr lvl="0">
            <a:buNone/>
          </a:pPr>
          <a:endParaRPr lang="sv-SE"/>
        </a:p>
        <a:p>
          <a:pPr lvl="0">
            <a:buNone/>
          </a:pPr>
          <a:r>
            <a:rPr lang="sv-SE"/>
            <a:t>Risknivåerna 1-7 är en kvalitativ gradering av riskers storlek i enlighet med riskmatrisen under fliken Risknivåer. Om man vill hantera kvantitativa risker bör risknivåerna ändras så att nivåerna av sannolikhet och konsekvens multipliceras. Då behöver man ändra formeln i kolumn för risknivån i fliken Riskregister till E x G.</a:t>
          </a:r>
        </a:p>
        <a:p>
          <a:pPr lvl="0">
            <a:buNone/>
          </a:pPr>
          <a:endParaRPr lang="sv-SE"/>
        </a:p>
        <a:p>
          <a:pPr lvl="0">
            <a:buNone/>
          </a:pPr>
          <a:r>
            <a:rPr lang="sv-SE"/>
            <a:t>Om man vill ändra antalet nivåer av sannolikhet och/eller konsekvens så får man dels ändra i fliken Data samt i formlerna i kolumnerna F och H i fliken Riskregister. I fliken Risknivåer finns inga formler och ingen data hämtas därfrån, så det är bara att ändra text och layout efter behov.  </a:t>
          </a:r>
        </a:p>
        <a:p>
          <a:pPr lvl="0">
            <a:buNone/>
          </a:pPr>
          <a:endParaRPr lang="sv-SE"/>
        </a:p>
        <a:p>
          <a:pPr lvl="0">
            <a:buNone/>
          </a:pPr>
          <a:endParaRPr lang="sv-SE"/>
        </a:p>
        <a:p>
          <a:pPr lvl="0">
            <a:buNone/>
          </a:pPr>
          <a:endParaRPr lang="sv-SE"/>
        </a:p>
      </xdr:txBody>
    </xdr:sp>
    <xdr:clientData/>
  </xdr:oneCellAnchor>
</xdr:wsDr>
</file>

<file path=xl/tables/table1.xml><?xml version="1.0" encoding="utf-8"?>
<table xmlns="http://purl.oclc.org/ooxml/spreadsheetml/main" id="1" name="Tabell3" displayName="Tabell3" ref="B2:C3" totalsRowShown="0">
  <autoFilter ref="B2:C3"/>
  <tableColumns count="2">
    <tableColumn id="1" name="Namn"/>
    <tableColumn id="2" name="LiU-ID"/>
  </tableColumns>
  <tableStyleInfo showFirstColumn="0" showLastColumn="0" showRowStripes="1" showColumnStripes="0"/>
</table>
</file>

<file path=xl/tables/table2.xml><?xml version="1.0" encoding="utf-8"?>
<table xmlns="http://purl.oclc.org/ooxml/spreadsheetml/main" id="2" name="Tabell1" displayName="Tabell1" ref="A5:L55" totalsRowShown="0">
  <autoFilter ref="A5:L55"/>
  <tableColumns count="12">
    <tableColumn id="1" name="ID"/>
    <tableColumn id="2" name="Tillgång"/>
    <tableColumn id="3" name="Egenskap (CIA/STRIDE)"/>
    <tableColumn id="4" name="Riskscenario"/>
    <tableColumn id="5" name="Orsaksbeskrivning"/>
    <tableColumn id="6" name="Konsekvensbeskrivning"/>
    <tableColumn id="7" name="Värde S 1-4"/>
    <tableColumn id="8" name="Sannolikhetsnivå"/>
    <tableColumn id="9" name="Värde K 1-4"/>
    <tableColumn id="10" name="Konsekvensnivå"/>
    <tableColumn id="11" name="Risknivå"/>
    <tableColumn id="12" name="Kommentar"/>
  </tableColumns>
  <tableStyleInfo showFirstColumn="0" showLastColumn="0" showRowStripes="1" showColumnStripes="0"/>
</table>
</file>

<file path=xl/theme/theme1.xml><?xml version="1.0" encoding="utf-8"?>
<a:theme xmlns:a="http://purl.oclc.org/ooxml/drawingml/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purl.oclc.org/ooxml/officeDocument/relationships/drawing" Target="../drawings/drawing1.xml"/></Relationships>
</file>

<file path=xl/worksheets/_rels/sheet2.xml.rels><?xml version="1.0" encoding="UTF-8" standalone="yes"?>
<Relationships xmlns="http://schemas.openxmlformats.org/package/2006/relationships"><Relationship Id="rId1" Type="http://purl.oclc.org/ooxml/officeDocument/relationships/table" Target="../tables/table1.xml"/></Relationships>
</file>

<file path=xl/worksheets/_rels/sheet3.xml.rels><?xml version="1.0" encoding="UTF-8" standalone="yes"?>
<Relationships xmlns="http://schemas.openxmlformats.org/package/2006/relationships"><Relationship Id="rId1" Type="http://purl.oclc.org/ooxml/officeDocument/relationships/table" Target="../tables/table2.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
  <sheetViews>
    <sheetView workbookViewId="0"/>
  </sheetViews>
  <sheetFormatPr baseColWidth="10" defaultColWidth="11.83203125" defaultRowHeight="16" x14ac:dyDescent="0.2"/>
  <cols>
    <col min="1" max="1" width="11.83203125" customWidth="1"/>
  </cols>
  <sheetData/>
  <pageMargins left="0.7" right="0.7" top="0.75" bottom="0.75" header="0.3" footer="0.3"/>
  <pageSetup paperSize="0" fitToWidth="0" fitToHeight="0" orientation="portrait" horizontalDpi="0" verticalDpi="0" copies="0"/>
  <drawing r:id="rId1"/>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B2:C3"/>
  <sheetViews>
    <sheetView workbookViewId="0"/>
  </sheetViews>
  <sheetFormatPr baseColWidth="10" defaultColWidth="14.6640625" defaultRowHeight="16" x14ac:dyDescent="0.2"/>
  <cols>
    <col min="1" max="1" width="14.6640625" customWidth="1"/>
    <col min="2" max="2" width="33.5" customWidth="1"/>
    <col min="3" max="3" width="34.5" customWidth="1"/>
    <col min="4" max="4" width="14.6640625" customWidth="1"/>
  </cols>
  <sheetData>
    <row r="2" spans="2:3" ht="21" customHeight="1" x14ac:dyDescent="0.2">
      <c r="B2" s="1" t="s">
        <v>0</v>
      </c>
      <c r="C2" s="1" t="s">
        <v>1</v>
      </c>
    </row>
    <row r="3" spans="2:3" ht="25" customHeight="1" x14ac:dyDescent="0.2">
      <c r="B3" t="s">
        <v>2</v>
      </c>
      <c r="C3" t="s">
        <v>3</v>
      </c>
    </row>
  </sheetData>
  <pageMargins left="0.7" right="0.7" top="0.75" bottom="0.75" header="0.3" footer="0.3"/>
  <tableParts count="1">
    <tablePart r:id="rId1"/>
  </tableParts>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2:N55"/>
  <sheetViews>
    <sheetView topLeftCell="D1" workbookViewId="0"/>
  </sheetViews>
  <sheetFormatPr baseColWidth="10" defaultColWidth="14.5" defaultRowHeight="19" x14ac:dyDescent="0.25"/>
  <cols>
    <col min="1" max="1" width="16.83203125" style="2" customWidth="1"/>
    <col min="2" max="2" width="66.83203125" style="2" customWidth="1"/>
    <col min="3" max="3" width="26.6640625" style="2" customWidth="1"/>
    <col min="4" max="4" width="33.1640625" style="2" customWidth="1"/>
    <col min="5" max="5" width="32" style="2" customWidth="1"/>
    <col min="6" max="6" width="37.33203125" style="2" customWidth="1"/>
    <col min="7" max="7" width="22.1640625" style="2" customWidth="1"/>
    <col min="8" max="8" width="28.1640625" style="2" customWidth="1"/>
    <col min="9" max="9" width="21.5" style="2" customWidth="1"/>
    <col min="10" max="10" width="26.83203125" style="2" customWidth="1"/>
    <col min="11" max="11" width="19.83203125" style="3" customWidth="1"/>
    <col min="12" max="12" width="35.33203125" style="3" customWidth="1"/>
    <col min="13" max="13" width="14.5" style="4" customWidth="1"/>
    <col min="14" max="14" width="16" style="4" customWidth="1"/>
    <col min="15" max="15" width="14.5" style="4" customWidth="1"/>
    <col min="16" max="16384" width="14.5" style="4"/>
  </cols>
  <sheetData>
    <row r="2" spans="1:14" ht="36" customHeight="1" x14ac:dyDescent="0.25">
      <c r="A2" s="5" t="s">
        <v>4</v>
      </c>
      <c r="B2" s="5"/>
      <c r="C2" s="5"/>
      <c r="D2" s="5"/>
      <c r="F2" s="6"/>
      <c r="G2" s="6"/>
      <c r="H2" s="6"/>
      <c r="I2" s="6"/>
      <c r="J2" s="6"/>
    </row>
    <row r="3" spans="1:14" x14ac:dyDescent="0.25">
      <c r="K3" s="7"/>
    </row>
    <row r="4" spans="1:14" ht="20" customHeight="1" x14ac:dyDescent="0.25">
      <c r="G4" s="23" t="s">
        <v>5</v>
      </c>
      <c r="H4" s="23"/>
      <c r="I4" s="23" t="s">
        <v>6</v>
      </c>
      <c r="J4" s="23"/>
    </row>
    <row r="5" spans="1:14" ht="20" x14ac:dyDescent="0.25">
      <c r="A5" s="8" t="s">
        <v>7</v>
      </c>
      <c r="B5" s="8" t="s">
        <v>8</v>
      </c>
      <c r="C5" s="8" t="s">
        <v>9</v>
      </c>
      <c r="D5" s="8" t="s">
        <v>10</v>
      </c>
      <c r="E5" s="8" t="s">
        <v>11</v>
      </c>
      <c r="F5" s="8" t="s">
        <v>12</v>
      </c>
      <c r="G5" s="9" t="s">
        <v>13</v>
      </c>
      <c r="H5" s="10" t="s">
        <v>14</v>
      </c>
      <c r="I5" s="9" t="s">
        <v>15</v>
      </c>
      <c r="J5" s="10" t="s">
        <v>16</v>
      </c>
      <c r="K5" s="11" t="s">
        <v>17</v>
      </c>
      <c r="L5" s="11" t="s">
        <v>18</v>
      </c>
    </row>
    <row r="6" spans="1:14" ht="120" x14ac:dyDescent="0.25">
      <c r="A6" s="12" t="s">
        <v>19</v>
      </c>
      <c r="B6" s="12" t="s">
        <v>20</v>
      </c>
      <c r="C6" s="12" t="s">
        <v>21</v>
      </c>
      <c r="D6" s="12" t="s">
        <v>22</v>
      </c>
      <c r="E6" s="12" t="s">
        <v>23</v>
      </c>
      <c r="F6" s="12" t="s">
        <v>24</v>
      </c>
      <c r="G6" s="13">
        <v>3</v>
      </c>
      <c r="H6" s="14" t="str">
        <f>IF(ISBLANK(G6),"",VLOOKUP(G6,Data!$C$5:$D$8,2))</f>
        <v>Hög</v>
      </c>
      <c r="I6" s="13">
        <v>3</v>
      </c>
      <c r="J6" s="15" t="str">
        <f>IF(ISBLANK(I6),"",VLOOKUP(I6,Data!$E$5:$F$8,2))</f>
        <v xml:space="preserve">Betydande </v>
      </c>
      <c r="K6" s="16">
        <f t="shared" ref="K6:K37" si="0">IF(ISBLANK(I6),"",G6+I6-1)</f>
        <v>5</v>
      </c>
      <c r="L6" s="12" t="s">
        <v>27</v>
      </c>
    </row>
    <row r="7" spans="1:14" ht="100" x14ac:dyDescent="0.25">
      <c r="A7" s="12" t="s">
        <v>28</v>
      </c>
      <c r="B7" s="12" t="s">
        <v>20</v>
      </c>
      <c r="C7" s="12" t="s">
        <v>29</v>
      </c>
      <c r="D7" s="12" t="s">
        <v>30</v>
      </c>
      <c r="E7" s="12" t="s">
        <v>31</v>
      </c>
      <c r="F7" s="12" t="s">
        <v>32</v>
      </c>
      <c r="G7" s="13">
        <v>2</v>
      </c>
      <c r="H7" s="14" t="str">
        <f>IF(ISBLANK(G7),"",VLOOKUP(G7,Data!$C$5:$D$8,2))</f>
        <v>Medelhög</v>
      </c>
      <c r="I7" s="13">
        <v>4</v>
      </c>
      <c r="J7" s="15" t="str">
        <f>IF(ISBLANK(I7),"",VLOOKUP(I7,Data!$E$5:$F$8,2))</f>
        <v>Allvarlig</v>
      </c>
      <c r="K7" s="16">
        <f t="shared" si="0"/>
        <v>5</v>
      </c>
      <c r="L7" s="12" t="s">
        <v>35</v>
      </c>
    </row>
    <row r="8" spans="1:14" ht="100" x14ac:dyDescent="0.25">
      <c r="A8" s="12" t="s">
        <v>36</v>
      </c>
      <c r="B8" s="12" t="s">
        <v>37</v>
      </c>
      <c r="C8" s="12" t="s">
        <v>38</v>
      </c>
      <c r="D8" s="12" t="s">
        <v>39</v>
      </c>
      <c r="E8" s="12" t="s">
        <v>40</v>
      </c>
      <c r="F8" s="12" t="s">
        <v>41</v>
      </c>
      <c r="G8" s="13">
        <v>2</v>
      </c>
      <c r="H8" s="14" t="str">
        <f>IF(ISBLANK(G8),"",VLOOKUP(G8,Data!$C$5:$D$8,2))</f>
        <v>Medelhög</v>
      </c>
      <c r="I8" s="13">
        <v>3</v>
      </c>
      <c r="J8" s="15" t="str">
        <f>IF(ISBLANK(I8),"",VLOOKUP(I8,Data!$E$5:$F$8,2))</f>
        <v xml:space="preserve">Betydande </v>
      </c>
      <c r="K8" s="16">
        <f t="shared" si="0"/>
        <v>4</v>
      </c>
      <c r="L8" s="12" t="s">
        <v>42</v>
      </c>
    </row>
    <row r="9" spans="1:14" ht="80" x14ac:dyDescent="0.25">
      <c r="A9" s="12" t="s">
        <v>43</v>
      </c>
      <c r="B9" s="12" t="s">
        <v>44</v>
      </c>
      <c r="C9" s="12" t="s">
        <v>29</v>
      </c>
      <c r="D9" s="12" t="s">
        <v>45</v>
      </c>
      <c r="E9" s="12" t="s">
        <v>46</v>
      </c>
      <c r="F9" s="12" t="s">
        <v>47</v>
      </c>
      <c r="G9" s="13">
        <v>2</v>
      </c>
      <c r="H9" s="14" t="str">
        <f>IF(ISBLANK(G9),"",VLOOKUP(G9,Data!$C$5:$D$8,2))</f>
        <v>Medelhög</v>
      </c>
      <c r="I9" s="13">
        <v>4</v>
      </c>
      <c r="J9" s="15" t="str">
        <f>IF(ISBLANK(I9),"",VLOOKUP(I9,Data!$E$5:$F$8,2))</f>
        <v>Allvarlig</v>
      </c>
      <c r="K9" s="16">
        <f t="shared" si="0"/>
        <v>5</v>
      </c>
      <c r="L9" s="12" t="s">
        <v>48</v>
      </c>
    </row>
    <row r="10" spans="1:14" ht="60" x14ac:dyDescent="0.25">
      <c r="A10" s="12" t="s">
        <v>49</v>
      </c>
      <c r="B10" s="12" t="s">
        <v>50</v>
      </c>
      <c r="C10" s="12" t="s">
        <v>21</v>
      </c>
      <c r="D10" s="12" t="s">
        <v>51</v>
      </c>
      <c r="E10" s="12" t="s">
        <v>52</v>
      </c>
      <c r="F10" s="12" t="s">
        <v>53</v>
      </c>
      <c r="G10" s="13">
        <v>2</v>
      </c>
      <c r="H10" s="14" t="str">
        <f>IF(ISBLANK(G10),"",VLOOKUP(G10,Data!$C$5:$D$8,2))</f>
        <v>Medelhög</v>
      </c>
      <c r="I10" s="13">
        <v>3</v>
      </c>
      <c r="J10" s="15" t="str">
        <f>IF(ISBLANK(I10),"",VLOOKUP(I10,Data!$E$5:$F$8,2))</f>
        <v xml:space="preserve">Betydande </v>
      </c>
      <c r="K10" s="16">
        <f t="shared" si="0"/>
        <v>4</v>
      </c>
      <c r="L10" s="12" t="s">
        <v>54</v>
      </c>
    </row>
    <row r="11" spans="1:14" ht="80" x14ac:dyDescent="0.25">
      <c r="A11" s="12" t="s">
        <v>55</v>
      </c>
      <c r="B11" s="12" t="s">
        <v>56</v>
      </c>
      <c r="C11" s="12" t="s">
        <v>29</v>
      </c>
      <c r="D11" s="12" t="s">
        <v>57</v>
      </c>
      <c r="E11" s="12" t="s">
        <v>58</v>
      </c>
      <c r="F11" s="12" t="s">
        <v>59</v>
      </c>
      <c r="G11" s="13">
        <v>1</v>
      </c>
      <c r="H11" s="14" t="str">
        <f>IF(ISBLANK(G11),"",VLOOKUP(G11,Data!$C$5:$D$8,2))</f>
        <v>Låg</v>
      </c>
      <c r="I11" s="13">
        <v>4</v>
      </c>
      <c r="J11" s="15" t="str">
        <f>IF(ISBLANK(I11),"",VLOOKUP(I11,Data!$E$5:$F$8,2))</f>
        <v>Allvarlig</v>
      </c>
      <c r="K11" s="16">
        <f t="shared" si="0"/>
        <v>4</v>
      </c>
      <c r="L11" s="12" t="s">
        <v>61</v>
      </c>
    </row>
    <row r="12" spans="1:14" ht="100" x14ac:dyDescent="0.25">
      <c r="A12" s="12" t="s">
        <v>62</v>
      </c>
      <c r="B12" s="12" t="s">
        <v>63</v>
      </c>
      <c r="C12" s="12" t="s">
        <v>38</v>
      </c>
      <c r="D12" s="12" t="s">
        <v>64</v>
      </c>
      <c r="E12" s="12" t="s">
        <v>65</v>
      </c>
      <c r="F12" s="12" t="s">
        <v>66</v>
      </c>
      <c r="G12" s="13">
        <v>3</v>
      </c>
      <c r="H12" s="14" t="str">
        <f>IF(ISBLANK(G12),"",VLOOKUP(G12,Data!$C$5:$D$8,2))</f>
        <v>Hög</v>
      </c>
      <c r="I12" s="13">
        <v>3</v>
      </c>
      <c r="J12" s="15" t="str">
        <f>IF(ISBLANK(I12),"",VLOOKUP(I12,Data!$E$5:$F$8,2))</f>
        <v xml:space="preserve">Betydande </v>
      </c>
      <c r="K12" s="16">
        <f t="shared" si="0"/>
        <v>5</v>
      </c>
      <c r="L12" s="12" t="s">
        <v>67</v>
      </c>
    </row>
    <row r="13" spans="1:14" ht="60" x14ac:dyDescent="0.25">
      <c r="A13" s="12" t="s">
        <v>68</v>
      </c>
      <c r="B13" s="12" t="s">
        <v>69</v>
      </c>
      <c r="C13" s="12" t="s">
        <v>21</v>
      </c>
      <c r="D13" s="12" t="s">
        <v>70</v>
      </c>
      <c r="E13" s="12" t="s">
        <v>71</v>
      </c>
      <c r="F13" s="12" t="s">
        <v>72</v>
      </c>
      <c r="G13" s="13">
        <v>2</v>
      </c>
      <c r="H13" s="14" t="str">
        <f>IF(ISBLANK(G13),"",VLOOKUP(G13,Data!$C$5:$D$8,2))</f>
        <v>Medelhög</v>
      </c>
      <c r="I13" s="13">
        <v>4</v>
      </c>
      <c r="J13" s="15" t="str">
        <f>IF(ISBLANK(I13),"",VLOOKUP(I13,Data!$E$5:$F$8,2))</f>
        <v>Allvarlig</v>
      </c>
      <c r="K13" s="16">
        <f t="shared" si="0"/>
        <v>5</v>
      </c>
      <c r="L13" s="12" t="s">
        <v>73</v>
      </c>
    </row>
    <row r="14" spans="1:14" ht="100" x14ac:dyDescent="0.25">
      <c r="A14" s="12" t="s">
        <v>74</v>
      </c>
      <c r="B14" s="12" t="s">
        <v>75</v>
      </c>
      <c r="C14" s="12" t="s">
        <v>38</v>
      </c>
      <c r="D14" s="12" t="s">
        <v>76</v>
      </c>
      <c r="E14" s="12" t="s">
        <v>77</v>
      </c>
      <c r="F14" s="17" t="s">
        <v>78</v>
      </c>
      <c r="G14" s="18">
        <v>2</v>
      </c>
      <c r="H14" s="15" t="str">
        <f>IF(ISBLANK(G14),"",VLOOKUP(G14,Data!$C$5:$D$8,2))</f>
        <v>Medelhög</v>
      </c>
      <c r="I14" s="18">
        <v>4</v>
      </c>
      <c r="J14" s="15" t="str">
        <f>IF(ISBLANK(I14),"",VLOOKUP(I14,Data!$E$5:$F$8,2))</f>
        <v>Allvarlig</v>
      </c>
      <c r="K14" s="16">
        <f t="shared" si="0"/>
        <v>5</v>
      </c>
      <c r="L14" s="12" t="s">
        <v>79</v>
      </c>
    </row>
    <row r="15" spans="1:14" ht="60" x14ac:dyDescent="0.25">
      <c r="A15" s="12" t="s">
        <v>80</v>
      </c>
      <c r="B15" s="12" t="s">
        <v>81</v>
      </c>
      <c r="C15" s="12" t="s">
        <v>21</v>
      </c>
      <c r="D15" s="12" t="s">
        <v>82</v>
      </c>
      <c r="E15" s="12" t="s">
        <v>83</v>
      </c>
      <c r="F15" s="19" t="s">
        <v>84</v>
      </c>
      <c r="G15" s="18">
        <v>3</v>
      </c>
      <c r="H15" s="15" t="str">
        <f>IF(ISBLANK(G15),"",VLOOKUP(G15,Data!$C$5:$D$8,2))</f>
        <v>Hög</v>
      </c>
      <c r="I15" s="18">
        <v>4</v>
      </c>
      <c r="J15" s="15" t="str">
        <f>IF(ISBLANK(I15),"",VLOOKUP(I15,Data!$E$5:$F$8,2))</f>
        <v>Allvarlig</v>
      </c>
      <c r="K15" s="16">
        <f t="shared" si="0"/>
        <v>6</v>
      </c>
      <c r="L15" s="12" t="s">
        <v>85</v>
      </c>
      <c r="N15" s="20"/>
    </row>
    <row r="16" spans="1:14" ht="20" x14ac:dyDescent="0.25">
      <c r="A16" s="12" t="s">
        <v>86</v>
      </c>
      <c r="B16" s="12"/>
      <c r="C16" s="12"/>
      <c r="D16" s="12"/>
      <c r="E16" s="12"/>
      <c r="F16" s="12"/>
      <c r="G16" s="18"/>
      <c r="H16" s="15" t="str">
        <f>IF(ISBLANK(G16),"",VLOOKUP(G16,Data!$C$5:$D$8,2))</f>
        <v/>
      </c>
      <c r="I16" s="18"/>
      <c r="J16" s="15" t="str">
        <f>IF(ISBLANK(I16),"",VLOOKUP(I16,Data!$E$5:$F$8,2))</f>
        <v/>
      </c>
      <c r="K16" s="16" t="str">
        <f t="shared" si="0"/>
        <v/>
      </c>
      <c r="L16" s="12"/>
      <c r="M16" s="21"/>
    </row>
    <row r="17" spans="1:13" ht="20" x14ac:dyDescent="0.25">
      <c r="A17" s="12" t="s">
        <v>87</v>
      </c>
      <c r="B17" s="12"/>
      <c r="C17" s="12"/>
      <c r="D17" s="12"/>
      <c r="E17" s="12"/>
      <c r="F17" s="12"/>
      <c r="G17" s="18"/>
      <c r="H17" s="15" t="str">
        <f>IF(ISBLANK(G17),"",VLOOKUP(G17,Data!$C$5:$D$8,2))</f>
        <v/>
      </c>
      <c r="I17" s="18"/>
      <c r="J17" s="15" t="str">
        <f>IF(ISBLANK(I17),"",VLOOKUP(I17,Data!$E$5:$F$8,2))</f>
        <v/>
      </c>
      <c r="K17" s="16" t="str">
        <f t="shared" si="0"/>
        <v/>
      </c>
      <c r="L17" s="12"/>
      <c r="M17" s="21"/>
    </row>
    <row r="18" spans="1:13" ht="20" x14ac:dyDescent="0.25">
      <c r="A18" s="12" t="s">
        <v>88</v>
      </c>
      <c r="B18" s="12"/>
      <c r="C18" s="12"/>
      <c r="D18" s="12"/>
      <c r="E18" s="12"/>
      <c r="F18" s="12"/>
      <c r="G18" s="18"/>
      <c r="H18" s="15" t="str">
        <f>IF(ISBLANK(G18),"",VLOOKUP(G18,Data!$C$5:$D$8,2))</f>
        <v/>
      </c>
      <c r="I18" s="18"/>
      <c r="J18" s="15" t="str">
        <f>IF(ISBLANK(I18),"",VLOOKUP(I18,Data!$E$5:$F$8,2))</f>
        <v/>
      </c>
      <c r="K18" s="16" t="str">
        <f t="shared" si="0"/>
        <v/>
      </c>
      <c r="L18" s="12"/>
      <c r="M18" s="21"/>
    </row>
    <row r="19" spans="1:13" ht="20" x14ac:dyDescent="0.25">
      <c r="A19" s="12" t="s">
        <v>89</v>
      </c>
      <c r="B19" s="12"/>
      <c r="C19" s="12"/>
      <c r="D19" s="12"/>
      <c r="E19" s="12"/>
      <c r="F19" s="12"/>
      <c r="G19" s="18"/>
      <c r="H19" s="15" t="str">
        <f>IF(ISBLANK(G19),"",VLOOKUP(G19,Data!$C$5:$D$8,2))</f>
        <v/>
      </c>
      <c r="I19" s="18"/>
      <c r="J19" s="15" t="str">
        <f>IF(ISBLANK(I19),"",VLOOKUP(I19,Data!$E$5:$F$8,2))</f>
        <v/>
      </c>
      <c r="K19" s="16" t="str">
        <f t="shared" si="0"/>
        <v/>
      </c>
      <c r="L19" s="12"/>
      <c r="M19" s="22"/>
    </row>
    <row r="20" spans="1:13" ht="20" x14ac:dyDescent="0.25">
      <c r="A20" s="12" t="s">
        <v>90</v>
      </c>
      <c r="B20" s="12"/>
      <c r="C20" s="12"/>
      <c r="D20" s="12"/>
      <c r="E20" s="12"/>
      <c r="F20" s="12"/>
      <c r="G20" s="18"/>
      <c r="H20" s="15" t="str">
        <f>IF(ISBLANK(G20),"",VLOOKUP(G20,Data!$C$5:$D$8,2))</f>
        <v/>
      </c>
      <c r="I20" s="18"/>
      <c r="J20" s="15" t="str">
        <f>IF(ISBLANK(I20),"",VLOOKUP(I20,Data!$E$5:$F$8,2))</f>
        <v/>
      </c>
      <c r="K20" s="16" t="str">
        <f t="shared" si="0"/>
        <v/>
      </c>
      <c r="L20" s="12"/>
      <c r="M20" s="22"/>
    </row>
    <row r="21" spans="1:13" ht="20" x14ac:dyDescent="0.25">
      <c r="A21" s="12" t="s">
        <v>91</v>
      </c>
      <c r="B21" s="12"/>
      <c r="C21" s="12"/>
      <c r="D21" s="12"/>
      <c r="E21" s="12"/>
      <c r="F21" s="15"/>
      <c r="G21" s="18"/>
      <c r="H21" s="15" t="str">
        <f>IF(ISBLANK(G21),"",VLOOKUP(G21,Data!$C$5:$D$8,2))</f>
        <v/>
      </c>
      <c r="I21" s="18"/>
      <c r="J21" s="15" t="str">
        <f>IF(ISBLANK(I21),"",VLOOKUP(I21,Data!$E$5:$F$8,2))</f>
        <v/>
      </c>
      <c r="K21" s="16" t="str">
        <f t="shared" si="0"/>
        <v/>
      </c>
      <c r="L21" s="12"/>
      <c r="M21" s="22"/>
    </row>
    <row r="22" spans="1:13" ht="20" x14ac:dyDescent="0.25">
      <c r="A22" s="12" t="s">
        <v>92</v>
      </c>
      <c r="B22" s="12"/>
      <c r="C22" s="12"/>
      <c r="D22" s="12"/>
      <c r="E22" s="12"/>
      <c r="F22" s="15"/>
      <c r="G22" s="18"/>
      <c r="H22" s="15" t="str">
        <f>IF(ISBLANK(G22),"",VLOOKUP(G22,Data!$C$5:$D$8,2))</f>
        <v/>
      </c>
      <c r="I22" s="18"/>
      <c r="J22" s="15" t="str">
        <f>IF(ISBLANK(I22),"",VLOOKUP(I22,Data!$E$5:$F$8,2))</f>
        <v/>
      </c>
      <c r="K22" s="16" t="str">
        <f t="shared" si="0"/>
        <v/>
      </c>
      <c r="L22" s="12"/>
      <c r="M22" s="22"/>
    </row>
    <row r="23" spans="1:13" ht="20" x14ac:dyDescent="0.25">
      <c r="A23" s="12" t="s">
        <v>93</v>
      </c>
      <c r="B23" s="12"/>
      <c r="C23" s="12"/>
      <c r="D23" s="12"/>
      <c r="E23" s="12"/>
      <c r="F23" s="15"/>
      <c r="G23" s="18"/>
      <c r="H23" s="15" t="str">
        <f>IF(ISBLANK(G23),"",VLOOKUP(G23,Data!$C$5:$D$8,2))</f>
        <v/>
      </c>
      <c r="I23" s="18"/>
      <c r="J23" s="15" t="str">
        <f>IF(ISBLANK(I23),"",VLOOKUP(I23,Data!$E$5:$F$8,2))</f>
        <v/>
      </c>
      <c r="K23" s="16" t="str">
        <f t="shared" si="0"/>
        <v/>
      </c>
      <c r="L23" s="12"/>
    </row>
    <row r="24" spans="1:13" ht="20" x14ac:dyDescent="0.25">
      <c r="A24" s="12" t="s">
        <v>94</v>
      </c>
      <c r="B24" s="12"/>
      <c r="C24" s="12"/>
      <c r="D24" s="12"/>
      <c r="E24" s="12"/>
      <c r="F24" s="15"/>
      <c r="G24" s="18"/>
      <c r="H24" s="15" t="str">
        <f>IF(ISBLANK(G24),"",VLOOKUP(G24,Data!$C$5:$D$8,2))</f>
        <v/>
      </c>
      <c r="I24" s="18"/>
      <c r="J24" s="15" t="str">
        <f>IF(ISBLANK(I24),"",VLOOKUP(I24,Data!$E$5:$F$8,2))</f>
        <v/>
      </c>
      <c r="K24" s="16" t="str">
        <f t="shared" si="0"/>
        <v/>
      </c>
      <c r="L24" s="12"/>
    </row>
    <row r="25" spans="1:13" ht="20" x14ac:dyDescent="0.25">
      <c r="A25" s="12" t="s">
        <v>95</v>
      </c>
      <c r="B25" s="12"/>
      <c r="C25" s="12"/>
      <c r="D25" s="12"/>
      <c r="E25" s="12"/>
      <c r="F25" s="15"/>
      <c r="G25" s="18"/>
      <c r="H25" s="15" t="str">
        <f>IF(ISBLANK(G25),"",VLOOKUP(G25,Data!$C$5:$D$8,2))</f>
        <v/>
      </c>
      <c r="I25" s="18"/>
      <c r="J25" s="15" t="str">
        <f>IF(ISBLANK(I25),"",VLOOKUP(I25,Data!$E$5:$F$8,2))</f>
        <v/>
      </c>
      <c r="K25" s="16" t="str">
        <f t="shared" si="0"/>
        <v/>
      </c>
      <c r="L25" s="12"/>
    </row>
    <row r="26" spans="1:13" ht="20" x14ac:dyDescent="0.25">
      <c r="A26" s="12" t="s">
        <v>96</v>
      </c>
      <c r="B26" s="12"/>
      <c r="C26" s="12"/>
      <c r="D26" s="12"/>
      <c r="E26" s="12"/>
      <c r="F26" s="15"/>
      <c r="G26" s="18"/>
      <c r="H26" s="15" t="str">
        <f>IF(ISBLANK(G26),"",VLOOKUP(G26,Data!$C$5:$D$8,2))</f>
        <v/>
      </c>
      <c r="I26" s="18"/>
      <c r="J26" s="15" t="str">
        <f>IF(ISBLANK(I26),"",VLOOKUP(I26,Data!$E$5:$F$8,2))</f>
        <v/>
      </c>
      <c r="K26" s="16" t="str">
        <f t="shared" si="0"/>
        <v/>
      </c>
      <c r="L26" s="12"/>
    </row>
    <row r="27" spans="1:13" ht="20" x14ac:dyDescent="0.25">
      <c r="A27" s="12" t="s">
        <v>97</v>
      </c>
      <c r="B27" s="12"/>
      <c r="C27" s="12"/>
      <c r="D27" s="12"/>
      <c r="E27" s="12"/>
      <c r="F27" s="15"/>
      <c r="G27" s="18"/>
      <c r="H27" s="15" t="str">
        <f>IF(ISBLANK(G27),"",VLOOKUP(G27,Data!$C$5:$D$8,2))</f>
        <v/>
      </c>
      <c r="I27" s="18"/>
      <c r="J27" s="15" t="str">
        <f>IF(ISBLANK(I27),"",VLOOKUP(I27,Data!$E$5:$F$8,2))</f>
        <v/>
      </c>
      <c r="K27" s="16" t="str">
        <f t="shared" si="0"/>
        <v/>
      </c>
      <c r="L27" s="12"/>
    </row>
    <row r="28" spans="1:13" ht="20" x14ac:dyDescent="0.25">
      <c r="A28" s="12" t="s">
        <v>98</v>
      </c>
      <c r="B28" s="12"/>
      <c r="C28" s="12"/>
      <c r="D28" s="12"/>
      <c r="E28" s="12"/>
      <c r="F28" s="15"/>
      <c r="G28" s="18"/>
      <c r="H28" s="15" t="str">
        <f>IF(ISBLANK(G28),"",VLOOKUP(G28,Data!$C$5:$D$8,2))</f>
        <v/>
      </c>
      <c r="I28" s="18"/>
      <c r="J28" s="15" t="str">
        <f>IF(ISBLANK(I28),"",VLOOKUP(I28,Data!$E$5:$F$8,2))</f>
        <v/>
      </c>
      <c r="K28" s="16" t="str">
        <f t="shared" si="0"/>
        <v/>
      </c>
      <c r="L28" s="12"/>
    </row>
    <row r="29" spans="1:13" ht="20" x14ac:dyDescent="0.25">
      <c r="A29" s="12" t="s">
        <v>99</v>
      </c>
      <c r="B29" s="12"/>
      <c r="C29" s="12"/>
      <c r="D29" s="12"/>
      <c r="E29" s="12"/>
      <c r="F29" s="15"/>
      <c r="G29" s="18"/>
      <c r="H29" s="15" t="str">
        <f>IF(ISBLANK(G29),"",VLOOKUP(G29,Data!$C$5:$D$8,2))</f>
        <v/>
      </c>
      <c r="I29" s="18"/>
      <c r="J29" s="15" t="str">
        <f>IF(ISBLANK(I29),"",VLOOKUP(I29,Data!$E$5:$F$8,2))</f>
        <v/>
      </c>
      <c r="K29" s="16" t="str">
        <f t="shared" si="0"/>
        <v/>
      </c>
      <c r="L29" s="12"/>
    </row>
    <row r="30" spans="1:13" ht="20" x14ac:dyDescent="0.25">
      <c r="A30" s="12" t="s">
        <v>100</v>
      </c>
      <c r="B30" s="12"/>
      <c r="C30" s="12"/>
      <c r="D30" s="12"/>
      <c r="E30" s="12"/>
      <c r="F30" s="15"/>
      <c r="G30" s="18"/>
      <c r="H30" s="15" t="str">
        <f>IF(ISBLANK(G30),"",VLOOKUP(G30,Data!$C$5:$D$8,2))</f>
        <v/>
      </c>
      <c r="I30" s="18"/>
      <c r="J30" s="15" t="str">
        <f>IF(ISBLANK(I30),"",VLOOKUP(I30,Data!$E$5:$F$8,2))</f>
        <v/>
      </c>
      <c r="K30" s="16" t="str">
        <f t="shared" si="0"/>
        <v/>
      </c>
      <c r="L30" s="12"/>
    </row>
    <row r="31" spans="1:13" ht="20" x14ac:dyDescent="0.25">
      <c r="A31" s="12" t="s">
        <v>101</v>
      </c>
      <c r="B31" s="12"/>
      <c r="C31" s="12"/>
      <c r="D31" s="12"/>
      <c r="E31" s="12"/>
      <c r="F31" s="15"/>
      <c r="G31" s="18"/>
      <c r="H31" s="15" t="str">
        <f>IF(ISBLANK(G31),"",VLOOKUP(G31,Data!$C$5:$D$8,2))</f>
        <v/>
      </c>
      <c r="I31" s="18"/>
      <c r="J31" s="15" t="str">
        <f>IF(ISBLANK(I31),"",VLOOKUP(I31,Data!$E$5:$F$8,2))</f>
        <v/>
      </c>
      <c r="K31" s="16" t="str">
        <f t="shared" si="0"/>
        <v/>
      </c>
      <c r="L31" s="12"/>
    </row>
    <row r="32" spans="1:13" ht="20" x14ac:dyDescent="0.25">
      <c r="A32" s="12" t="s">
        <v>102</v>
      </c>
      <c r="B32" s="12"/>
      <c r="C32" s="12"/>
      <c r="D32" s="12"/>
      <c r="E32" s="12"/>
      <c r="F32" s="15"/>
      <c r="G32" s="18"/>
      <c r="H32" s="15" t="str">
        <f>IF(ISBLANK(G32),"",VLOOKUP(G32,Data!$C$5:$D$8,2))</f>
        <v/>
      </c>
      <c r="I32" s="18"/>
      <c r="J32" s="15" t="str">
        <f>IF(ISBLANK(I32),"",VLOOKUP(I32,Data!$E$5:$F$8,2))</f>
        <v/>
      </c>
      <c r="K32" s="16" t="str">
        <f t="shared" si="0"/>
        <v/>
      </c>
      <c r="L32" s="12"/>
    </row>
    <row r="33" spans="1:12" ht="20" x14ac:dyDescent="0.25">
      <c r="A33" s="12" t="s">
        <v>103</v>
      </c>
      <c r="B33" s="12"/>
      <c r="C33" s="12"/>
      <c r="D33" s="12"/>
      <c r="E33" s="12"/>
      <c r="F33" s="15"/>
      <c r="G33" s="18"/>
      <c r="H33" s="15" t="str">
        <f>IF(ISBLANK(G33),"",VLOOKUP(G33,Data!$C$5:$D$8,2))</f>
        <v/>
      </c>
      <c r="I33" s="18"/>
      <c r="J33" s="15" t="str">
        <f>IF(ISBLANK(I33),"",VLOOKUP(I33,Data!$E$5:$F$8,2))</f>
        <v/>
      </c>
      <c r="K33" s="16" t="str">
        <f t="shared" si="0"/>
        <v/>
      </c>
      <c r="L33" s="12"/>
    </row>
    <row r="34" spans="1:12" ht="20" x14ac:dyDescent="0.25">
      <c r="A34" s="12" t="s">
        <v>104</v>
      </c>
      <c r="B34" s="12"/>
      <c r="C34" s="12"/>
      <c r="D34" s="12"/>
      <c r="E34" s="12"/>
      <c r="F34" s="15"/>
      <c r="G34" s="18"/>
      <c r="H34" s="15" t="str">
        <f>IF(ISBLANK(G34),"",VLOOKUP(G34,Data!$C$5:$D$8,2))</f>
        <v/>
      </c>
      <c r="I34" s="18"/>
      <c r="J34" s="15" t="str">
        <f>IF(ISBLANK(I34),"",VLOOKUP(I34,Data!$E$5:$F$8,2))</f>
        <v/>
      </c>
      <c r="K34" s="16" t="str">
        <f t="shared" si="0"/>
        <v/>
      </c>
      <c r="L34" s="12"/>
    </row>
    <row r="35" spans="1:12" ht="20" x14ac:dyDescent="0.25">
      <c r="A35" s="12" t="s">
        <v>105</v>
      </c>
      <c r="B35" s="12"/>
      <c r="C35" s="12"/>
      <c r="D35" s="12"/>
      <c r="E35" s="12"/>
      <c r="F35" s="15"/>
      <c r="G35" s="18"/>
      <c r="H35" s="15" t="str">
        <f>IF(ISBLANK(G35),"",VLOOKUP(G35,Data!$C$5:$D$8,2))</f>
        <v/>
      </c>
      <c r="I35" s="18"/>
      <c r="J35" s="15" t="str">
        <f>IF(ISBLANK(I35),"",VLOOKUP(I35,Data!$E$5:$F$8,2))</f>
        <v/>
      </c>
      <c r="K35" s="16" t="str">
        <f t="shared" si="0"/>
        <v/>
      </c>
      <c r="L35" s="12"/>
    </row>
    <row r="36" spans="1:12" ht="20" x14ac:dyDescent="0.25">
      <c r="A36" s="12" t="s">
        <v>106</v>
      </c>
      <c r="B36" s="12"/>
      <c r="C36" s="12"/>
      <c r="D36" s="12"/>
      <c r="E36" s="12"/>
      <c r="F36" s="15"/>
      <c r="G36" s="18"/>
      <c r="H36" s="15" t="str">
        <f>IF(ISBLANK(G36),"",VLOOKUP(G36,Data!$C$5:$D$8,2))</f>
        <v/>
      </c>
      <c r="I36" s="18"/>
      <c r="J36" s="15" t="str">
        <f>IF(ISBLANK(I36),"",VLOOKUP(I36,Data!$E$5:$F$8,2))</f>
        <v/>
      </c>
      <c r="K36" s="16" t="str">
        <f t="shared" si="0"/>
        <v/>
      </c>
      <c r="L36" s="12"/>
    </row>
    <row r="37" spans="1:12" ht="20" x14ac:dyDescent="0.25">
      <c r="A37" s="12" t="s">
        <v>107</v>
      </c>
      <c r="B37" s="12"/>
      <c r="C37" s="12"/>
      <c r="D37" s="12"/>
      <c r="E37" s="12"/>
      <c r="F37" s="15"/>
      <c r="G37" s="18"/>
      <c r="H37" s="15" t="str">
        <f>IF(ISBLANK(G37),"",VLOOKUP(G37,Data!$C$5:$D$8,2))</f>
        <v/>
      </c>
      <c r="I37" s="18"/>
      <c r="J37" s="15" t="str">
        <f>IF(ISBLANK(I37),"",VLOOKUP(I37,Data!$E$5:$F$8,2))</f>
        <v/>
      </c>
      <c r="K37" s="16" t="str">
        <f t="shared" si="0"/>
        <v/>
      </c>
      <c r="L37" s="12"/>
    </row>
    <row r="38" spans="1:12" ht="20" x14ac:dyDescent="0.25">
      <c r="A38" s="12" t="s">
        <v>108</v>
      </c>
      <c r="B38" s="12"/>
      <c r="C38" s="12"/>
      <c r="D38" s="12"/>
      <c r="E38" s="12"/>
      <c r="F38" s="15"/>
      <c r="G38" s="18"/>
      <c r="H38" s="15" t="str">
        <f>IF(ISBLANK(G38),"",VLOOKUP(G38,Data!$C$5:$D$8,2))</f>
        <v/>
      </c>
      <c r="I38" s="18"/>
      <c r="J38" s="15" t="str">
        <f>IF(ISBLANK(I38),"",VLOOKUP(I38,Data!$E$5:$F$8,2))</f>
        <v/>
      </c>
      <c r="K38" s="16" t="str">
        <f t="shared" ref="K38:K55" si="1">IF(ISBLANK(I38),"",G38+I38-1)</f>
        <v/>
      </c>
      <c r="L38" s="12"/>
    </row>
    <row r="39" spans="1:12" ht="20" x14ac:dyDescent="0.25">
      <c r="A39" s="12" t="s">
        <v>109</v>
      </c>
      <c r="B39" s="12"/>
      <c r="C39" s="12"/>
      <c r="D39" s="12"/>
      <c r="E39" s="12"/>
      <c r="F39" s="15"/>
      <c r="G39" s="18"/>
      <c r="H39" s="15" t="str">
        <f>IF(ISBLANK(G39),"",VLOOKUP(G39,Data!$C$5:$D$8,2))</f>
        <v/>
      </c>
      <c r="I39" s="18"/>
      <c r="J39" s="15" t="str">
        <f>IF(ISBLANK(I39),"",VLOOKUP(I39,Data!$E$5:$F$8,2))</f>
        <v/>
      </c>
      <c r="K39" s="16" t="str">
        <f t="shared" si="1"/>
        <v/>
      </c>
      <c r="L39" s="12"/>
    </row>
    <row r="40" spans="1:12" ht="20" x14ac:dyDescent="0.25">
      <c r="A40" s="12" t="s">
        <v>110</v>
      </c>
      <c r="B40" s="12"/>
      <c r="C40" s="12"/>
      <c r="D40" s="12"/>
      <c r="E40" s="12"/>
      <c r="F40" s="15"/>
      <c r="G40" s="18"/>
      <c r="H40" s="15" t="str">
        <f>IF(ISBLANK(G40),"",VLOOKUP(G40,Data!$C$5:$D$8,2))</f>
        <v/>
      </c>
      <c r="I40" s="18"/>
      <c r="J40" s="15" t="str">
        <f>IF(ISBLANK(I40),"",VLOOKUP(I40,Data!$E$5:$F$8,2))</f>
        <v/>
      </c>
      <c r="K40" s="16" t="str">
        <f t="shared" si="1"/>
        <v/>
      </c>
      <c r="L40" s="12"/>
    </row>
    <row r="41" spans="1:12" ht="20" x14ac:dyDescent="0.25">
      <c r="A41" s="12" t="s">
        <v>111</v>
      </c>
      <c r="B41" s="12"/>
      <c r="C41" s="12"/>
      <c r="D41" s="12"/>
      <c r="E41" s="12"/>
      <c r="F41" s="15"/>
      <c r="G41" s="18"/>
      <c r="H41" s="15" t="str">
        <f>IF(ISBLANK(G41),"",VLOOKUP(G41,Data!$C$5:$D$8,2))</f>
        <v/>
      </c>
      <c r="I41" s="18"/>
      <c r="J41" s="15" t="str">
        <f>IF(ISBLANK(I41),"",VLOOKUP(I41,Data!$E$5:$F$8,2))</f>
        <v/>
      </c>
      <c r="K41" s="16" t="str">
        <f t="shared" si="1"/>
        <v/>
      </c>
      <c r="L41" s="12"/>
    </row>
    <row r="42" spans="1:12" ht="20" x14ac:dyDescent="0.25">
      <c r="A42" s="12" t="s">
        <v>112</v>
      </c>
      <c r="B42" s="12"/>
      <c r="C42" s="12"/>
      <c r="D42" s="12"/>
      <c r="E42" s="12"/>
      <c r="F42" s="15"/>
      <c r="G42" s="18"/>
      <c r="H42" s="15" t="str">
        <f>IF(ISBLANK(G42),"",VLOOKUP(G42,Data!$C$5:$D$8,2))</f>
        <v/>
      </c>
      <c r="I42" s="18"/>
      <c r="J42" s="15" t="str">
        <f>IF(ISBLANK(I42),"",VLOOKUP(I42,Data!$E$5:$F$8,2))</f>
        <v/>
      </c>
      <c r="K42" s="16" t="str">
        <f t="shared" si="1"/>
        <v/>
      </c>
      <c r="L42" s="12"/>
    </row>
    <row r="43" spans="1:12" ht="20" x14ac:dyDescent="0.25">
      <c r="A43" s="12" t="s">
        <v>113</v>
      </c>
      <c r="B43" s="12"/>
      <c r="C43" s="12"/>
      <c r="D43" s="12"/>
      <c r="E43" s="12"/>
      <c r="F43" s="15"/>
      <c r="G43" s="18"/>
      <c r="H43" s="15" t="str">
        <f>IF(ISBLANK(G43),"",VLOOKUP(G43,Data!$C$5:$D$8,2))</f>
        <v/>
      </c>
      <c r="I43" s="18"/>
      <c r="J43" s="15" t="str">
        <f>IF(ISBLANK(I43),"",VLOOKUP(I43,Data!$E$5:$F$8,2))</f>
        <v/>
      </c>
      <c r="K43" s="16" t="str">
        <f t="shared" si="1"/>
        <v/>
      </c>
      <c r="L43" s="12"/>
    </row>
    <row r="44" spans="1:12" ht="20" x14ac:dyDescent="0.25">
      <c r="A44" s="12" t="s">
        <v>114</v>
      </c>
      <c r="B44" s="12"/>
      <c r="C44" s="12"/>
      <c r="D44" s="12"/>
      <c r="E44" s="12"/>
      <c r="F44" s="15"/>
      <c r="G44" s="18"/>
      <c r="H44" s="15" t="str">
        <f>IF(ISBLANK(G44),"",VLOOKUP(G44,Data!$C$5:$D$8,2))</f>
        <v/>
      </c>
      <c r="I44" s="18"/>
      <c r="J44" s="15" t="str">
        <f>IF(ISBLANK(I44),"",VLOOKUP(I44,Data!$E$5:$F$8,2))</f>
        <v/>
      </c>
      <c r="K44" s="16" t="str">
        <f t="shared" si="1"/>
        <v/>
      </c>
      <c r="L44" s="12"/>
    </row>
    <row r="45" spans="1:12" ht="20" x14ac:dyDescent="0.25">
      <c r="A45" s="12" t="s">
        <v>115</v>
      </c>
      <c r="B45" s="12"/>
      <c r="C45" s="12"/>
      <c r="D45" s="12"/>
      <c r="E45" s="12"/>
      <c r="F45" s="15"/>
      <c r="G45" s="18"/>
      <c r="H45" s="15" t="str">
        <f>IF(ISBLANK(G45),"",VLOOKUP(G45,Data!$C$5:$D$8,2))</f>
        <v/>
      </c>
      <c r="I45" s="18"/>
      <c r="J45" s="15" t="str">
        <f>IF(ISBLANK(I45),"",VLOOKUP(I45,Data!$E$5:$F$8,2))</f>
        <v/>
      </c>
      <c r="K45" s="16" t="str">
        <f t="shared" si="1"/>
        <v/>
      </c>
      <c r="L45" s="12"/>
    </row>
    <row r="46" spans="1:12" ht="20" x14ac:dyDescent="0.25">
      <c r="A46" s="12" t="s">
        <v>116</v>
      </c>
      <c r="B46" s="12"/>
      <c r="C46" s="12"/>
      <c r="D46" s="12"/>
      <c r="E46" s="12"/>
      <c r="F46" s="15"/>
      <c r="G46" s="18"/>
      <c r="H46" s="15" t="str">
        <f>IF(ISBLANK(G46),"",VLOOKUP(G46,Data!$C$5:$D$8,2))</f>
        <v/>
      </c>
      <c r="I46" s="18"/>
      <c r="J46" s="15" t="str">
        <f>IF(ISBLANK(I46),"",VLOOKUP(I46,Data!$E$5:$F$8,2))</f>
        <v/>
      </c>
      <c r="K46" s="16" t="str">
        <f t="shared" si="1"/>
        <v/>
      </c>
      <c r="L46" s="12"/>
    </row>
    <row r="47" spans="1:12" ht="20" x14ac:dyDescent="0.25">
      <c r="A47" s="12" t="s">
        <v>117</v>
      </c>
      <c r="B47" s="12"/>
      <c r="C47" s="12"/>
      <c r="D47" s="12"/>
      <c r="E47" s="12"/>
      <c r="F47" s="15"/>
      <c r="G47" s="18"/>
      <c r="H47" s="15" t="str">
        <f>IF(ISBLANK(G47),"",VLOOKUP(G47,Data!$C$5:$D$8,2))</f>
        <v/>
      </c>
      <c r="I47" s="18"/>
      <c r="J47" s="15" t="str">
        <f>IF(ISBLANK(I47),"",VLOOKUP(I47,Data!$E$5:$F$8,2))</f>
        <v/>
      </c>
      <c r="K47" s="16" t="str">
        <f t="shared" si="1"/>
        <v/>
      </c>
      <c r="L47" s="12"/>
    </row>
    <row r="48" spans="1:12" ht="20" x14ac:dyDescent="0.25">
      <c r="A48" s="12" t="s">
        <v>118</v>
      </c>
      <c r="B48" s="12"/>
      <c r="C48" s="12"/>
      <c r="D48" s="12"/>
      <c r="E48" s="12"/>
      <c r="F48" s="15"/>
      <c r="G48" s="18"/>
      <c r="H48" s="15" t="str">
        <f>IF(ISBLANK(G48),"",VLOOKUP(G48,Data!$C$5:$D$8,2))</f>
        <v/>
      </c>
      <c r="I48" s="18"/>
      <c r="J48" s="15" t="str">
        <f>IF(ISBLANK(I48),"",VLOOKUP(I48,Data!$E$5:$F$8,2))</f>
        <v/>
      </c>
      <c r="K48" s="16" t="str">
        <f t="shared" si="1"/>
        <v/>
      </c>
      <c r="L48" s="12"/>
    </row>
    <row r="49" spans="1:12" ht="20" x14ac:dyDescent="0.25">
      <c r="A49" s="12" t="s">
        <v>119</v>
      </c>
      <c r="B49" s="12"/>
      <c r="C49" s="12"/>
      <c r="D49" s="12"/>
      <c r="E49" s="12"/>
      <c r="F49" s="15"/>
      <c r="G49" s="18"/>
      <c r="H49" s="15" t="str">
        <f>IF(ISBLANK(G49),"",VLOOKUP(G49,Data!$C$5:$D$8,2))</f>
        <v/>
      </c>
      <c r="I49" s="18"/>
      <c r="J49" s="15" t="str">
        <f>IF(ISBLANK(I49),"",VLOOKUP(I49,Data!$E$5:$F$8,2))</f>
        <v/>
      </c>
      <c r="K49" s="16" t="str">
        <f t="shared" si="1"/>
        <v/>
      </c>
      <c r="L49" s="12"/>
    </row>
    <row r="50" spans="1:12" ht="20" x14ac:dyDescent="0.25">
      <c r="A50" s="12" t="s">
        <v>120</v>
      </c>
      <c r="B50" s="12"/>
      <c r="C50" s="12"/>
      <c r="D50" s="12"/>
      <c r="E50" s="12"/>
      <c r="F50" s="15"/>
      <c r="G50" s="18"/>
      <c r="H50" s="15" t="str">
        <f>IF(ISBLANK(G50),"",VLOOKUP(G50,Data!$C$5:$D$8,2))</f>
        <v/>
      </c>
      <c r="I50" s="18"/>
      <c r="J50" s="15" t="str">
        <f>IF(ISBLANK(I50),"",VLOOKUP(I50,Data!$E$5:$F$8,2))</f>
        <v/>
      </c>
      <c r="K50" s="16" t="str">
        <f t="shared" si="1"/>
        <v/>
      </c>
      <c r="L50" s="12"/>
    </row>
    <row r="51" spans="1:12" ht="20" x14ac:dyDescent="0.25">
      <c r="A51" s="12" t="s">
        <v>121</v>
      </c>
      <c r="B51" s="12"/>
      <c r="C51" s="12"/>
      <c r="D51" s="12"/>
      <c r="E51" s="12"/>
      <c r="F51" s="15"/>
      <c r="G51" s="18"/>
      <c r="H51" s="15" t="str">
        <f>IF(ISBLANK(G51),"",VLOOKUP(G51,Data!$C$5:$D$8,2))</f>
        <v/>
      </c>
      <c r="I51" s="18"/>
      <c r="J51" s="15" t="str">
        <f>IF(ISBLANK(I51),"",VLOOKUP(I51,Data!$E$5:$F$8,2))</f>
        <v/>
      </c>
      <c r="K51" s="16" t="str">
        <f t="shared" si="1"/>
        <v/>
      </c>
      <c r="L51" s="12"/>
    </row>
    <row r="52" spans="1:12" ht="20" x14ac:dyDescent="0.25">
      <c r="A52" s="12" t="s">
        <v>122</v>
      </c>
      <c r="B52" s="12"/>
      <c r="C52" s="12"/>
      <c r="D52" s="12"/>
      <c r="E52" s="12"/>
      <c r="F52" s="15"/>
      <c r="G52" s="18"/>
      <c r="H52" s="15" t="str">
        <f>IF(ISBLANK(G52),"",VLOOKUP(G52,Data!$C$5:$D$8,2))</f>
        <v/>
      </c>
      <c r="I52" s="18"/>
      <c r="J52" s="15" t="str">
        <f>IF(ISBLANK(I52),"",VLOOKUP(I52,Data!$E$5:$F$8,2))</f>
        <v/>
      </c>
      <c r="K52" s="16" t="str">
        <f t="shared" si="1"/>
        <v/>
      </c>
      <c r="L52" s="12"/>
    </row>
    <row r="53" spans="1:12" ht="20" x14ac:dyDescent="0.25">
      <c r="A53" s="12" t="s">
        <v>123</v>
      </c>
      <c r="B53" s="12"/>
      <c r="C53" s="12"/>
      <c r="D53" s="12"/>
      <c r="E53" s="12"/>
      <c r="F53" s="15"/>
      <c r="G53" s="18"/>
      <c r="H53" s="15" t="str">
        <f>IF(ISBLANK(G53),"",VLOOKUP(G53,Data!$C$5:$D$8,2))</f>
        <v/>
      </c>
      <c r="I53" s="18"/>
      <c r="J53" s="15" t="str">
        <f>IF(ISBLANK(I53),"",VLOOKUP(I53,Data!$E$5:$F$8,2))</f>
        <v/>
      </c>
      <c r="K53" s="16" t="str">
        <f t="shared" si="1"/>
        <v/>
      </c>
      <c r="L53" s="12"/>
    </row>
    <row r="54" spans="1:12" ht="20" x14ac:dyDescent="0.25">
      <c r="A54" s="12" t="s">
        <v>124</v>
      </c>
      <c r="B54" s="12"/>
      <c r="C54" s="12"/>
      <c r="D54" s="12"/>
      <c r="E54" s="12"/>
      <c r="F54" s="15"/>
      <c r="G54" s="18"/>
      <c r="H54" s="15" t="str">
        <f>IF(ISBLANK(G54),"",VLOOKUP(G54,Data!$C$5:$D$8,2))</f>
        <v/>
      </c>
      <c r="I54" s="18"/>
      <c r="J54" s="15" t="str">
        <f>IF(ISBLANK(I54),"",VLOOKUP(I54,Data!$E$5:$F$8,2))</f>
        <v/>
      </c>
      <c r="K54" s="16" t="str">
        <f t="shared" si="1"/>
        <v/>
      </c>
      <c r="L54" s="12"/>
    </row>
    <row r="55" spans="1:12" ht="20" x14ac:dyDescent="0.25">
      <c r="A55" s="12" t="s">
        <v>125</v>
      </c>
      <c r="B55" s="12"/>
      <c r="C55" s="12"/>
      <c r="D55" s="12"/>
      <c r="E55" s="12"/>
      <c r="F55" s="15"/>
      <c r="G55" s="18"/>
      <c r="H55" s="15" t="str">
        <f>IF(ISBLANK(G55),"",VLOOKUP(G55,Data!$C$5:$D$8,2))</f>
        <v/>
      </c>
      <c r="I55" s="18"/>
      <c r="J55" s="15" t="str">
        <f>IF(ISBLANK(I55),"",VLOOKUP(I55,Data!$E$5:$F$8,2))</f>
        <v/>
      </c>
      <c r="K55" s="16" t="str">
        <f t="shared" si="1"/>
        <v/>
      </c>
      <c r="L55" s="12"/>
    </row>
  </sheetData>
  <mergeCells count="2">
    <mergeCell ref="G4:H4"/>
    <mergeCell ref="I4:J4"/>
  </mergeCells>
  <conditionalFormatting sqref="G6:G13">
    <cfRule type="cellIs" dxfId="80" priority="62" stopIfTrue="1" operator="equal">
      <formula>1</formula>
    </cfRule>
  </conditionalFormatting>
  <conditionalFormatting sqref="G14:G55">
    <cfRule type="cellIs" dxfId="79" priority="65" stopIfTrue="1" operator="equal">
      <formula>1</formula>
    </cfRule>
  </conditionalFormatting>
  <conditionalFormatting sqref="I6:I55">
    <cfRule type="cellIs" dxfId="78" priority="54" stopIfTrue="1" operator="equal">
      <formula>1</formula>
    </cfRule>
  </conditionalFormatting>
  <conditionalFormatting sqref="G6:G13">
    <cfRule type="cellIs" dxfId="77" priority="61" stopIfTrue="1" operator="equal">
      <formula>2</formula>
    </cfRule>
  </conditionalFormatting>
  <conditionalFormatting sqref="G14:G55">
    <cfRule type="cellIs" dxfId="76" priority="64" stopIfTrue="1" operator="equal">
      <formula>2</formula>
    </cfRule>
  </conditionalFormatting>
  <conditionalFormatting sqref="I6:I55">
    <cfRule type="cellIs" dxfId="75" priority="53" stopIfTrue="1" operator="equal">
      <formula>2</formula>
    </cfRule>
  </conditionalFormatting>
  <conditionalFormatting sqref="G6:G13">
    <cfRule type="cellIs" dxfId="74" priority="60" stopIfTrue="1" operator="equal">
      <formula>3</formula>
    </cfRule>
  </conditionalFormatting>
  <conditionalFormatting sqref="G14:G55">
    <cfRule type="cellIs" dxfId="73" priority="63" stopIfTrue="1" operator="equal">
      <formula>3</formula>
    </cfRule>
  </conditionalFormatting>
  <conditionalFormatting sqref="I6:I55">
    <cfRule type="cellIs" dxfId="72" priority="52" stopIfTrue="1" operator="equal">
      <formula>3</formula>
    </cfRule>
  </conditionalFormatting>
  <conditionalFormatting sqref="I6:I55">
    <cfRule type="cellIs" dxfId="71" priority="51" stopIfTrue="1" operator="equal">
      <formula>4</formula>
    </cfRule>
  </conditionalFormatting>
  <conditionalFormatting sqref="K6:K55">
    <cfRule type="expression" dxfId="70" priority="78" stopIfTrue="1">
      <formula>NOT(ISERROR(SEARCH("1",K6)))</formula>
    </cfRule>
  </conditionalFormatting>
  <conditionalFormatting sqref="K6:K55">
    <cfRule type="expression" dxfId="69" priority="77" stopIfTrue="1">
      <formula>NOT(ISERROR(SEARCH("2",K6)))</formula>
    </cfRule>
  </conditionalFormatting>
  <conditionalFormatting sqref="K6:K55">
    <cfRule type="expression" dxfId="68" priority="76" stopIfTrue="1">
      <formula>NOT(ISERROR(SEARCH("3",K6)))</formula>
    </cfRule>
  </conditionalFormatting>
  <conditionalFormatting sqref="G6:G55">
    <cfRule type="expression" dxfId="67" priority="59" stopIfTrue="1">
      <formula>NOT(ISERROR(SEARCH("4",G6)))</formula>
    </cfRule>
  </conditionalFormatting>
  <conditionalFormatting sqref="K6:K55">
    <cfRule type="expression" dxfId="66" priority="75" stopIfTrue="1">
      <formula>NOT(ISERROR(SEARCH("4",K6)))</formula>
    </cfRule>
  </conditionalFormatting>
  <conditionalFormatting sqref="K6:K55">
    <cfRule type="expression" dxfId="65" priority="74" stopIfTrue="1">
      <formula>NOT(ISERROR(SEARCH("5",K6)))</formula>
    </cfRule>
  </conditionalFormatting>
  <conditionalFormatting sqref="K6:K55">
    <cfRule type="expression" dxfId="64" priority="73" stopIfTrue="1">
      <formula>NOT(ISERROR(SEARCH("6",K6)))</formula>
    </cfRule>
  </conditionalFormatting>
  <conditionalFormatting sqref="K6:K55">
    <cfRule type="expression" dxfId="63" priority="72" stopIfTrue="1">
      <formula>NOT(ISERROR(SEARCH("7",K6)))</formula>
    </cfRule>
  </conditionalFormatting>
  <conditionalFormatting sqref="J6:J55">
    <cfRule type="expression" dxfId="62" priority="58" stopIfTrue="1">
      <formula>NOT(ISERROR(SEARCH("Allvarlig",J6)))</formula>
    </cfRule>
  </conditionalFormatting>
  <conditionalFormatting sqref="J6:J55">
    <cfRule type="expression" dxfId="61" priority="57" stopIfTrue="1">
      <formula>NOT(ISERROR(SEARCH("Betydande",J6)))</formula>
    </cfRule>
  </conditionalFormatting>
  <conditionalFormatting sqref="H15">
    <cfRule type="expression" dxfId="60" priority="40" stopIfTrue="1">
      <formula>NOT(ISERROR(SEARCH("Försumbar",H15)))</formula>
    </cfRule>
  </conditionalFormatting>
  <conditionalFormatting sqref="J6:J55">
    <cfRule type="expression" dxfId="59" priority="56" stopIfTrue="1">
      <formula>NOT(ISERROR(SEARCH("Försumbar",J6)))</formula>
    </cfRule>
  </conditionalFormatting>
  <conditionalFormatting sqref="H15">
    <cfRule type="expression" dxfId="58" priority="44" stopIfTrue="1">
      <formula>NOT(ISERROR(SEARCH("Hög",H15)))</formula>
    </cfRule>
  </conditionalFormatting>
  <conditionalFormatting sqref="H14">
    <cfRule type="expression" dxfId="57" priority="23" stopIfTrue="1">
      <formula>NOT(ISERROR(SEARCH("Hög",H14)))</formula>
    </cfRule>
  </conditionalFormatting>
  <conditionalFormatting sqref="H15">
    <cfRule type="expression" dxfId="56" priority="41" stopIfTrue="1">
      <formula>NOT(ISERROR(SEARCH("Hög",H15)))</formula>
    </cfRule>
  </conditionalFormatting>
  <conditionalFormatting sqref="H9">
    <cfRule type="expression" dxfId="55" priority="10" stopIfTrue="1">
      <formula>NOT(ISERROR(SEARCH("Hög",H9)))</formula>
    </cfRule>
  </conditionalFormatting>
  <conditionalFormatting sqref="H7:H8 H10:H13">
    <cfRule type="expression" dxfId="54" priority="16" stopIfTrue="1">
      <formula>NOT(ISERROR(SEARCH("Hög",H7)))</formula>
    </cfRule>
  </conditionalFormatting>
  <conditionalFormatting sqref="H6">
    <cfRule type="expression" dxfId="53" priority="31" stopIfTrue="1">
      <formula>NOT(ISERROR(SEARCH("Hög",H6)))</formula>
    </cfRule>
  </conditionalFormatting>
  <conditionalFormatting sqref="H15">
    <cfRule type="expression" dxfId="52" priority="38" stopIfTrue="1">
      <formula>NOT(ISERROR(SEARCH("Hög",H15)))</formula>
    </cfRule>
  </conditionalFormatting>
  <conditionalFormatting sqref="H6">
    <cfRule type="expression" dxfId="51" priority="33" stopIfTrue="1">
      <formula>NOT(ISERROR(SEARCH("Hög",H6)))</formula>
    </cfRule>
  </conditionalFormatting>
  <conditionalFormatting sqref="H14">
    <cfRule type="expression" dxfId="50" priority="27" stopIfTrue="1">
      <formula>NOT(ISERROR(SEARCH("Hög",H14)))</formula>
    </cfRule>
  </conditionalFormatting>
  <conditionalFormatting sqref="H14">
    <cfRule type="expression" dxfId="49" priority="21" stopIfTrue="1">
      <formula>NOT(ISERROR(SEARCH("Hög",H14)))</formula>
    </cfRule>
  </conditionalFormatting>
  <conditionalFormatting sqref="H16:H55">
    <cfRule type="expression" dxfId="48" priority="67" stopIfTrue="1">
      <formula>NOT(ISERROR(SEARCH("Hög",H16)))</formula>
    </cfRule>
  </conditionalFormatting>
  <conditionalFormatting sqref="H16:H55">
    <cfRule type="expression" dxfId="47" priority="69" stopIfTrue="1">
      <formula>NOT(ISERROR(SEARCH("Hög",H16)))</formula>
    </cfRule>
  </conditionalFormatting>
  <conditionalFormatting sqref="H15">
    <cfRule type="expression" dxfId="46" priority="48" stopIfTrue="1">
      <formula>NOT(ISERROR(SEARCH("Hög",H15)))</formula>
    </cfRule>
  </conditionalFormatting>
  <conditionalFormatting sqref="H7:H8 H10:H13">
    <cfRule type="expression" dxfId="45" priority="14" stopIfTrue="1">
      <formula>NOT(ISERROR(SEARCH("Hög",H7)))</formula>
    </cfRule>
  </conditionalFormatting>
  <conditionalFormatting sqref="H9">
    <cfRule type="expression" dxfId="44" priority="4" stopIfTrue="1">
      <formula>NOT(ISERROR(SEARCH("Hög",H9)))</formula>
    </cfRule>
  </conditionalFormatting>
  <conditionalFormatting sqref="H9">
    <cfRule type="expression" dxfId="43" priority="7" stopIfTrue="1">
      <formula>NOT(ISERROR(SEARCH("Hög",H9)))</formula>
    </cfRule>
  </conditionalFormatting>
  <conditionalFormatting sqref="H15">
    <cfRule type="expression" dxfId="42" priority="46" stopIfTrue="1">
      <formula>NOT(ISERROR(SEARCH("Låg",H15)))</formula>
    </cfRule>
  </conditionalFormatting>
  <conditionalFormatting sqref="H14">
    <cfRule type="expression" dxfId="41" priority="25" stopIfTrue="1">
      <formula>NOT(ISERROR(SEARCH("Låg",H14)))</formula>
    </cfRule>
  </conditionalFormatting>
  <conditionalFormatting sqref="H7:H13">
    <cfRule type="expression" dxfId="40" priority="12" stopIfTrue="1">
      <formula>NOT(ISERROR(SEARCH("Låg",H7)))</formula>
    </cfRule>
  </conditionalFormatting>
  <conditionalFormatting sqref="H15:H55">
    <cfRule type="expression" dxfId="39" priority="50" stopIfTrue="1">
      <formula>NOT(ISERROR(SEARCH("Låg",H15)))</formula>
    </cfRule>
  </conditionalFormatting>
  <conditionalFormatting sqref="H16:H55">
    <cfRule type="expression" dxfId="38" priority="71" stopIfTrue="1">
      <formula>NOT(ISERROR(SEARCH("Låg",H16)))</formula>
    </cfRule>
  </conditionalFormatting>
  <conditionalFormatting sqref="H7:H8 H10:H13">
    <cfRule type="expression" dxfId="37" priority="18" stopIfTrue="1">
      <formula>NOT(ISERROR(SEARCH("Låg",H7)))</formula>
    </cfRule>
  </conditionalFormatting>
  <conditionalFormatting sqref="H6">
    <cfRule type="expression" dxfId="36" priority="35" stopIfTrue="1">
      <formula>NOT(ISERROR(SEARCH("Låg",H6)))</formula>
    </cfRule>
  </conditionalFormatting>
  <conditionalFormatting sqref="H6 H14:H15">
    <cfRule type="expression" dxfId="35" priority="29" stopIfTrue="1">
      <formula>NOT(ISERROR(SEARCH("Låg",H6)))</formula>
    </cfRule>
  </conditionalFormatting>
  <conditionalFormatting sqref="H14">
    <cfRule type="expression" dxfId="34" priority="19" stopIfTrue="1">
      <formula>NOT(ISERROR(SEARCH("Låg",H14)))</formula>
    </cfRule>
  </conditionalFormatting>
  <conditionalFormatting sqref="H9">
    <cfRule type="expression" dxfId="33" priority="2" stopIfTrue="1">
      <formula>NOT(ISERROR(SEARCH("Låg",H9)))</formula>
    </cfRule>
  </conditionalFormatting>
  <conditionalFormatting sqref="H9">
    <cfRule type="expression" dxfId="32" priority="6" stopIfTrue="1">
      <formula>NOT(ISERROR(SEARCH("Låg",H9)))</formula>
    </cfRule>
  </conditionalFormatting>
  <conditionalFormatting sqref="H15">
    <cfRule type="expression" dxfId="31" priority="45" stopIfTrue="1">
      <formula>NOT(ISERROR(SEARCH("Medelhög",H15)))</formula>
    </cfRule>
  </conditionalFormatting>
  <conditionalFormatting sqref="H14">
    <cfRule type="expression" dxfId="30" priority="24" stopIfTrue="1">
      <formula>NOT(ISERROR(SEARCH("Medelhög",H14)))</formula>
    </cfRule>
  </conditionalFormatting>
  <conditionalFormatting sqref="H7:H8 H10:H13">
    <cfRule type="expression" dxfId="29" priority="17" stopIfTrue="1">
      <formula>NOT(ISERROR(SEARCH("Medelhög",H7)))</formula>
    </cfRule>
  </conditionalFormatting>
  <conditionalFormatting sqref="H7:H8 H10:H13">
    <cfRule type="expression" dxfId="28" priority="13" stopIfTrue="1">
      <formula>NOT(ISERROR(SEARCH("Medelhög",H7)))</formula>
    </cfRule>
  </conditionalFormatting>
  <conditionalFormatting sqref="H6">
    <cfRule type="expression" dxfId="27" priority="30" stopIfTrue="1">
      <formula>NOT(ISERROR(SEARCH("Medelhög",H6)))</formula>
    </cfRule>
  </conditionalFormatting>
  <conditionalFormatting sqref="H6">
    <cfRule type="expression" dxfId="26" priority="34" stopIfTrue="1">
      <formula>NOT(ISERROR(SEARCH("Medelhög",H6)))</formula>
    </cfRule>
  </conditionalFormatting>
  <conditionalFormatting sqref="H15">
    <cfRule type="expression" dxfId="25" priority="49" stopIfTrue="1">
      <formula>NOT(ISERROR(SEARCH("Medelhög",H15)))</formula>
    </cfRule>
  </conditionalFormatting>
  <conditionalFormatting sqref="H15">
    <cfRule type="expression" dxfId="24" priority="37" stopIfTrue="1">
      <formula>NOT(ISERROR(SEARCH("Medelhög",H15)))</formula>
    </cfRule>
  </conditionalFormatting>
  <conditionalFormatting sqref="H14">
    <cfRule type="expression" dxfId="23" priority="28" stopIfTrue="1">
      <formula>NOT(ISERROR(SEARCH("Medelhög",H14)))</formula>
    </cfRule>
  </conditionalFormatting>
  <conditionalFormatting sqref="H14">
    <cfRule type="expression" dxfId="22" priority="20" stopIfTrue="1">
      <formula>NOT(ISERROR(SEARCH("Medelhög",H14)))</formula>
    </cfRule>
  </conditionalFormatting>
  <conditionalFormatting sqref="H16:H55">
    <cfRule type="expression" dxfId="21" priority="66" stopIfTrue="1">
      <formula>NOT(ISERROR(SEARCH("Medelhög",H16)))</formula>
    </cfRule>
  </conditionalFormatting>
  <conditionalFormatting sqref="H16:H55">
    <cfRule type="expression" dxfId="20" priority="70" stopIfTrue="1">
      <formula>NOT(ISERROR(SEARCH("Medelhög",H16)))</formula>
    </cfRule>
  </conditionalFormatting>
  <conditionalFormatting sqref="H9">
    <cfRule type="expression" dxfId="19" priority="11" stopIfTrue="1">
      <formula>NOT(ISERROR(SEARCH("Medelhög",H9)))</formula>
    </cfRule>
  </conditionalFormatting>
  <conditionalFormatting sqref="H9">
    <cfRule type="expression" dxfId="18" priority="3" stopIfTrue="1">
      <formula>NOT(ISERROR(SEARCH("Medelhög",H9)))</formula>
    </cfRule>
  </conditionalFormatting>
  <conditionalFormatting sqref="H9">
    <cfRule type="expression" dxfId="17" priority="5" stopIfTrue="1">
      <formula>NOT(ISERROR(SEARCH("Medelhög",H9)))</formula>
    </cfRule>
  </conditionalFormatting>
  <conditionalFormatting sqref="H15">
    <cfRule type="expression" dxfId="16" priority="43" stopIfTrue="1">
      <formula>NOT(ISERROR(SEARCH("Mycket hög",H15)))</formula>
    </cfRule>
  </conditionalFormatting>
  <conditionalFormatting sqref="H14">
    <cfRule type="expression" dxfId="15" priority="22" stopIfTrue="1">
      <formula>NOT(ISERROR(SEARCH("Mycket hög",H14)))</formula>
    </cfRule>
  </conditionalFormatting>
  <conditionalFormatting sqref="H15">
    <cfRule type="expression" dxfId="14" priority="42" stopIfTrue="1">
      <formula>NOT(ISERROR(SEARCH("Mycket hög",H15)))</formula>
    </cfRule>
  </conditionalFormatting>
  <conditionalFormatting sqref="H7:H8 H10:H14">
    <cfRule type="expression" dxfId="13" priority="15" stopIfTrue="1">
      <formula>NOT(ISERROR(SEARCH("Mycket hög",H7)))</formula>
    </cfRule>
  </conditionalFormatting>
  <conditionalFormatting sqref="H6">
    <cfRule type="expression" dxfId="12" priority="32" stopIfTrue="1">
      <formula>NOT(ISERROR(SEARCH("Mycket hög",H6)))</formula>
    </cfRule>
  </conditionalFormatting>
  <conditionalFormatting sqref="H16:H55">
    <cfRule type="expression" dxfId="11" priority="68" stopIfTrue="1">
      <formula>NOT(ISERROR(SEARCH("Mycket hög",H16)))</formula>
    </cfRule>
  </conditionalFormatting>
  <conditionalFormatting sqref="H6 H16:H55">
    <cfRule type="expression" dxfId="10" priority="36" stopIfTrue="1">
      <formula>NOT(ISERROR(SEARCH("Mycket hög",H6)))</formula>
    </cfRule>
  </conditionalFormatting>
  <conditionalFormatting sqref="H15">
    <cfRule type="expression" dxfId="9" priority="47" stopIfTrue="1">
      <formula>NOT(ISERROR(SEARCH("Mycket hög",H15)))</formula>
    </cfRule>
  </conditionalFormatting>
  <conditionalFormatting sqref="H14:H15">
    <cfRule type="expression" dxfId="8" priority="26" stopIfTrue="1">
      <formula>NOT(ISERROR(SEARCH("Mycket hög",H14)))</formula>
    </cfRule>
  </conditionalFormatting>
  <conditionalFormatting sqref="H6:H13">
    <cfRule type="expression" dxfId="7" priority="9" stopIfTrue="1">
      <formula>NOT(ISERROR(SEARCH("Mycket hög",H6)))</formula>
    </cfRule>
  </conditionalFormatting>
  <conditionalFormatting sqref="H9">
    <cfRule type="expression" dxfId="6" priority="1" stopIfTrue="1">
      <formula>NOT(ISERROR(SEARCH("Mycket hög",H9)))</formula>
    </cfRule>
  </conditionalFormatting>
  <conditionalFormatting sqref="H9">
    <cfRule type="expression" dxfId="5" priority="8" stopIfTrue="1">
      <formula>NOT(ISERROR(SEARCH("Mycket hög",H9)))</formula>
    </cfRule>
  </conditionalFormatting>
  <conditionalFormatting sqref="H15">
    <cfRule type="expression" dxfId="4" priority="39" stopIfTrue="1">
      <formula>NOT(ISERROR(SEARCH("Måttlig",H15)))</formula>
    </cfRule>
  </conditionalFormatting>
  <conditionalFormatting sqref="J6:J55">
    <cfRule type="expression" dxfId="3" priority="55" stopIfTrue="1">
      <formula>NOT(ISERROR(SEARCH("Måttlig",J6)))</formula>
    </cfRule>
  </conditionalFormatting>
  <pageMargins left="0.7" right="0.7" top="0.75" bottom="0.75" header="0.3" footer="0.3"/>
  <pageSetup paperSize="0" fitToWidth="0" fitToHeight="0" orientation="portrait" horizontalDpi="0" verticalDpi="0" copies="0"/>
  <tableParts count="1">
    <tablePart r:id="rId1"/>
  </tableParts>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2:N20"/>
  <sheetViews>
    <sheetView tabSelected="1" workbookViewId="0"/>
  </sheetViews>
  <sheetFormatPr baseColWidth="10" defaultColWidth="14.1640625" defaultRowHeight="16" x14ac:dyDescent="0.2"/>
  <cols>
    <col min="1" max="2" width="14.1640625" customWidth="1"/>
    <col min="3" max="4" width="32" customWidth="1"/>
    <col min="5" max="6" width="34.33203125" customWidth="1"/>
    <col min="7" max="8" width="24.6640625" customWidth="1"/>
    <col min="9" max="9" width="56.33203125" customWidth="1"/>
    <col min="10" max="10" width="14.1640625" customWidth="1"/>
  </cols>
  <sheetData>
    <row r="2" spans="1:14" ht="34" x14ac:dyDescent="0.4">
      <c r="A2" s="24" t="s">
        <v>126</v>
      </c>
    </row>
    <row r="4" spans="1:14" ht="19" x14ac:dyDescent="0.25">
      <c r="B4" s="4" t="s">
        <v>127</v>
      </c>
      <c r="K4" s="4" t="s">
        <v>128</v>
      </c>
    </row>
    <row r="6" spans="1:14" ht="19" x14ac:dyDescent="0.25">
      <c r="C6" t="s">
        <v>129</v>
      </c>
      <c r="D6" s="25"/>
      <c r="E6" t="s">
        <v>130</v>
      </c>
      <c r="G6" t="s">
        <v>131</v>
      </c>
      <c r="I6" t="s">
        <v>132</v>
      </c>
      <c r="J6">
        <v>4</v>
      </c>
      <c r="K6" s="26">
        <v>4</v>
      </c>
      <c r="L6" s="27">
        <v>5</v>
      </c>
      <c r="M6" s="28">
        <v>6</v>
      </c>
      <c r="N6" s="29">
        <v>7</v>
      </c>
    </row>
    <row r="7" spans="1:14" ht="18" customHeight="1" x14ac:dyDescent="0.2">
      <c r="A7">
        <v>4</v>
      </c>
      <c r="B7" s="30" t="s">
        <v>34</v>
      </c>
      <c r="C7" s="45" t="s">
        <v>133</v>
      </c>
      <c r="D7" s="45"/>
      <c r="E7" s="45" t="s">
        <v>134</v>
      </c>
      <c r="F7" s="45"/>
      <c r="G7" s="45" t="s">
        <v>135</v>
      </c>
      <c r="H7" s="45"/>
      <c r="I7" s="31" t="s">
        <v>136</v>
      </c>
      <c r="J7">
        <v>3</v>
      </c>
      <c r="K7" s="32">
        <v>3</v>
      </c>
      <c r="L7" s="26">
        <v>4</v>
      </c>
      <c r="M7" s="27">
        <v>5</v>
      </c>
      <c r="N7" s="28">
        <v>6</v>
      </c>
    </row>
    <row r="8" spans="1:14" x14ac:dyDescent="0.2">
      <c r="A8">
        <v>3</v>
      </c>
      <c r="B8" s="33" t="s">
        <v>137</v>
      </c>
      <c r="C8" s="45" t="s">
        <v>138</v>
      </c>
      <c r="D8" s="45"/>
      <c r="E8" s="45" t="s">
        <v>139</v>
      </c>
      <c r="F8" s="45"/>
      <c r="G8" s="45" t="s">
        <v>140</v>
      </c>
      <c r="H8" s="45"/>
      <c r="I8" s="31" t="s">
        <v>141</v>
      </c>
      <c r="J8">
        <v>2</v>
      </c>
      <c r="K8" s="34">
        <v>2</v>
      </c>
      <c r="L8" s="32">
        <v>3</v>
      </c>
      <c r="M8" s="26">
        <v>4</v>
      </c>
      <c r="N8" s="27">
        <v>5</v>
      </c>
    </row>
    <row r="9" spans="1:14" x14ac:dyDescent="0.2">
      <c r="A9">
        <v>2</v>
      </c>
      <c r="B9" s="35" t="s">
        <v>142</v>
      </c>
      <c r="C9" s="45" t="s">
        <v>143</v>
      </c>
      <c r="D9" s="45"/>
      <c r="E9" s="45" t="s">
        <v>144</v>
      </c>
      <c r="F9" s="45"/>
      <c r="G9" s="45" t="s">
        <v>145</v>
      </c>
      <c r="H9" s="45"/>
      <c r="I9" s="31" t="s">
        <v>146</v>
      </c>
      <c r="J9">
        <v>1</v>
      </c>
      <c r="K9" s="36">
        <v>1</v>
      </c>
      <c r="L9" s="34">
        <v>2</v>
      </c>
      <c r="M9" s="32">
        <v>3</v>
      </c>
      <c r="N9" s="26">
        <v>4</v>
      </c>
    </row>
    <row r="10" spans="1:14" x14ac:dyDescent="0.2">
      <c r="A10">
        <v>1</v>
      </c>
      <c r="B10" s="37" t="s">
        <v>147</v>
      </c>
      <c r="C10" s="45" t="s">
        <v>148</v>
      </c>
      <c r="D10" s="45"/>
      <c r="E10" s="45" t="s">
        <v>149</v>
      </c>
      <c r="F10" s="45"/>
      <c r="G10" s="45" t="s">
        <v>150</v>
      </c>
      <c r="H10" s="45"/>
      <c r="I10" s="31" t="s">
        <v>151</v>
      </c>
      <c r="K10">
        <v>1</v>
      </c>
      <c r="L10">
        <v>2</v>
      </c>
      <c r="M10">
        <v>3</v>
      </c>
      <c r="N10">
        <v>4</v>
      </c>
    </row>
    <row r="11" spans="1:14" ht="19" x14ac:dyDescent="0.25">
      <c r="C11" s="4"/>
    </row>
    <row r="12" spans="1:14" ht="19" x14ac:dyDescent="0.25">
      <c r="B12" s="4" t="s">
        <v>152</v>
      </c>
      <c r="H12" s="25"/>
      <c r="K12" s="4" t="s">
        <v>126</v>
      </c>
    </row>
    <row r="13" spans="1:14" ht="19" x14ac:dyDescent="0.25">
      <c r="H13" s="4"/>
    </row>
    <row r="14" spans="1:14" x14ac:dyDescent="0.2">
      <c r="A14">
        <v>4</v>
      </c>
      <c r="B14" s="30" t="s">
        <v>153</v>
      </c>
      <c r="C14" s="46" t="s">
        <v>154</v>
      </c>
      <c r="D14" s="46"/>
      <c r="K14" s="38">
        <v>7</v>
      </c>
    </row>
    <row r="15" spans="1:14" x14ac:dyDescent="0.2">
      <c r="A15">
        <v>3</v>
      </c>
      <c r="B15" s="33" t="s">
        <v>25</v>
      </c>
      <c r="C15" s="46" t="s">
        <v>155</v>
      </c>
      <c r="D15" s="46"/>
      <c r="K15" s="39">
        <v>6</v>
      </c>
    </row>
    <row r="16" spans="1:14" x14ac:dyDescent="0.2">
      <c r="A16">
        <v>2</v>
      </c>
      <c r="B16" s="35" t="s">
        <v>33</v>
      </c>
      <c r="C16" s="46" t="s">
        <v>156</v>
      </c>
      <c r="D16" s="46"/>
      <c r="K16" s="40">
        <v>5</v>
      </c>
    </row>
    <row r="17" spans="1:11" ht="16" customHeight="1" x14ac:dyDescent="0.2">
      <c r="A17">
        <v>1</v>
      </c>
      <c r="B17" s="37" t="s">
        <v>60</v>
      </c>
      <c r="C17" s="46" t="s">
        <v>157</v>
      </c>
      <c r="D17" s="46"/>
      <c r="K17" s="41">
        <v>4</v>
      </c>
    </row>
    <row r="18" spans="1:11" x14ac:dyDescent="0.2">
      <c r="K18" s="42">
        <v>3</v>
      </c>
    </row>
    <row r="19" spans="1:11" x14ac:dyDescent="0.2">
      <c r="K19" s="43">
        <v>2</v>
      </c>
    </row>
    <row r="20" spans="1:11" x14ac:dyDescent="0.2">
      <c r="K20" s="44">
        <v>1</v>
      </c>
    </row>
  </sheetData>
  <mergeCells count="16">
    <mergeCell ref="C14:D14"/>
    <mergeCell ref="C15:D15"/>
    <mergeCell ref="C16:D16"/>
    <mergeCell ref="C17:D17"/>
    <mergeCell ref="C9:D9"/>
    <mergeCell ref="E9:F9"/>
    <mergeCell ref="G9:H9"/>
    <mergeCell ref="C10:D10"/>
    <mergeCell ref="E10:F10"/>
    <mergeCell ref="G10:H10"/>
    <mergeCell ref="C7:D7"/>
    <mergeCell ref="E7:F7"/>
    <mergeCell ref="G7:H7"/>
    <mergeCell ref="C8:D8"/>
    <mergeCell ref="E8:F8"/>
    <mergeCell ref="G8:H8"/>
  </mergeCells>
  <conditionalFormatting sqref="B14">
    <cfRule type="expression" dxfId="2" priority="79" stopIfTrue="1">
      <formula>NOT(ISERROR(SEARCH("Ja",B14)))</formula>
    </cfRule>
  </conditionalFormatting>
  <pageMargins left="0.7" right="0.7" top="0.75" bottom="0.75" header="0.3" footer="0.3"/>
  <pageSetup paperSize="0" fitToWidth="0" fitToHeight="0" orientation="portrait" horizontalDpi="0" verticalDpi="0" copies="0"/>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B2:J22"/>
  <sheetViews>
    <sheetView workbookViewId="0"/>
  </sheetViews>
  <sheetFormatPr baseColWidth="10" defaultColWidth="14.5" defaultRowHeight="19" x14ac:dyDescent="0.25"/>
  <cols>
    <col min="1" max="1" width="14.5" style="4" customWidth="1"/>
    <col min="2" max="2" width="17.1640625" style="4" customWidth="1"/>
    <col min="3" max="3" width="6.6640625" style="4" customWidth="1"/>
    <col min="4" max="4" width="22.83203125" style="4" customWidth="1"/>
    <col min="5" max="5" width="6.1640625" style="4" customWidth="1"/>
    <col min="6" max="6" width="22.6640625" style="4" customWidth="1"/>
    <col min="7" max="7" width="4.1640625" style="4" customWidth="1"/>
    <col min="8" max="8" width="14.5" style="4" customWidth="1"/>
    <col min="9" max="9" width="4.5" style="4" customWidth="1"/>
    <col min="10" max="10" width="14.5" style="4" customWidth="1"/>
    <col min="11" max="16384" width="14.5" style="4"/>
  </cols>
  <sheetData>
    <row r="2" spans="2:10" x14ac:dyDescent="0.25">
      <c r="B2" s="25" t="s">
        <v>158</v>
      </c>
    </row>
    <row r="4" spans="2:10" ht="48.5" customHeight="1" x14ac:dyDescent="0.25">
      <c r="B4" s="25"/>
      <c r="C4" s="25"/>
      <c r="D4" s="25" t="s">
        <v>5</v>
      </c>
      <c r="E4" s="25"/>
      <c r="F4" s="25" t="s">
        <v>6</v>
      </c>
      <c r="H4" s="25"/>
      <c r="J4" s="25"/>
    </row>
    <row r="5" spans="2:10" x14ac:dyDescent="0.25">
      <c r="C5" s="4">
        <v>1</v>
      </c>
      <c r="D5" s="4" t="s">
        <v>60</v>
      </c>
      <c r="E5" s="4">
        <v>1</v>
      </c>
      <c r="F5" s="4" t="s">
        <v>147</v>
      </c>
    </row>
    <row r="6" spans="2:10" x14ac:dyDescent="0.25">
      <c r="C6" s="4">
        <v>2</v>
      </c>
      <c r="D6" s="4" t="s">
        <v>33</v>
      </c>
      <c r="E6" s="4">
        <v>2</v>
      </c>
      <c r="F6" s="4" t="s">
        <v>142</v>
      </c>
    </row>
    <row r="7" spans="2:10" x14ac:dyDescent="0.25">
      <c r="C7" s="4">
        <v>3</v>
      </c>
      <c r="D7" s="4" t="s">
        <v>25</v>
      </c>
      <c r="E7" s="4">
        <v>3</v>
      </c>
      <c r="F7" s="4" t="s">
        <v>26</v>
      </c>
    </row>
    <row r="8" spans="2:10" x14ac:dyDescent="0.25">
      <c r="C8" s="4">
        <v>4</v>
      </c>
      <c r="D8" s="4" t="s">
        <v>153</v>
      </c>
      <c r="E8" s="4">
        <v>4</v>
      </c>
      <c r="F8" s="4" t="s">
        <v>34</v>
      </c>
    </row>
    <row r="22" spans="6:8" x14ac:dyDescent="0.25">
      <c r="F22" s="25"/>
      <c r="H22" s="25"/>
    </row>
  </sheetData>
  <conditionalFormatting sqref="B6">
    <cfRule type="expression" dxfId="1" priority="80" stopIfTrue="1">
      <formula>NOT(ISERROR(SEARCH("Ja",B6)))</formula>
    </cfRule>
  </conditionalFormatting>
  <conditionalFormatting sqref="F24">
    <cfRule type="expression" dxfId="0" priority="81" stopIfTrue="1">
      <formula>NOT(ISERROR(SEARCH("Ja",F24)))</formula>
    </cfRule>
  </conditionalFormatting>
  <pageMargins left="0.7" right="0.7" top="0.75" bottom="0.75" header="0.3" footer="0.3"/>
  <pageSetup paperSize="0" fitToWidth="0" fitToHeight="0" orientation="portrait" horizontalDpi="0" verticalDpi="0" copies="0"/>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Kalkylblad</vt:lpstr>
      </vt:variant>
      <vt:variant>
        <vt:i4>5</vt:i4>
      </vt:variant>
    </vt:vector>
  </HeadingPairs>
  <TitlesOfParts>
    <vt:vector size="5" baseType="lpstr">
      <vt:lpstr>0_Manual</vt:lpstr>
      <vt:lpstr>Studentdata</vt:lpstr>
      <vt:lpstr>Riskregister</vt:lpstr>
      <vt:lpstr>Risknivåer</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Office-användare</dc:creator>
  <dc:description/>
  <cp:lastModifiedBy>Linnéa Egnér</cp:lastModifiedBy>
  <dcterms:created xsi:type="dcterms:W3CDTF">2016-11-10T13:42:25Z</dcterms:created>
  <dcterms:modified xsi:type="dcterms:W3CDTF">2026-08-06T11:26:59Z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0x0101008239AB5D3D2647B580F011DA2F3561110100A28383E834518C4DABC9BDF6440EB7C1</vt:lpwstr>
  </property>
  <property fmtid="{D5CDD505-2E9C-101B-9397-08002B2CF9AE}" pid="3" name="MSB_SiteBusinessProcess">
    <vt:lpwstr>1;#Standard|42db7290-f92b-446b-999c-1bee6d848af0</vt:lpwstr>
  </property>
  <property fmtid="{D5CDD505-2E9C-101B-9397-08002B2CF9AE}" pid="4" name="MSB_DocumentType">
    <vt:lpwstr/>
  </property>
</Properties>
</file>